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shboard &amp; Insights" sheetId="1" r:id="rId1"/>
    <sheet name="Cleaned Data" sheetId="2" r:id="rId2"/>
  </sheets>
  <definedNames>
    <definedName name="_xlnm._FilterDatabase" localSheetId="1" hidden="1">'Cleaned Data'!$A$1:$F$180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<sst xmlns="http://schemas.openxmlformats.org/spreadsheetml/2006/main" count="741" uniqueCount="110">
  <si>
    <t>USED CAR INVENTORY &amp; MILEAGE ANALYSIS</t>
  </si>
  <si>
    <t>Total Vehicles Available</t>
  </si>
  <si>
    <t>Average Mileage Logged (km)</t>
  </si>
  <si>
    <t>Transmission Type Overview</t>
  </si>
  <si>
    <t>Transmission Type</t>
  </si>
  <si>
    <t>Vehicle Count</t>
  </si>
  <si>
    <t>Average Mileage (km)</t>
  </si>
  <si>
    <t>Automatic</t>
  </si>
  <si>
    <t>Manual</t>
  </si>
  <si>
    <t>Unknown</t>
  </si>
  <si>
    <t>Total / Average Portfolio</t>
  </si>
  <si>
    <t>CORE ANALYTICAL INSIGHTS:</t>
  </si>
  <si>
    <t>Insight 1: Transmission Market Dominance</t>
  </si>
  <si>
    <t>- The inventory data demonstrates a heavy market preference for Automatic transmissions.</t>
  </si>
  <si>
    <t>- Automatic vehicles account for the vast majority of the listings, reflecting modern buyer trends.</t>
  </si>
  <si>
    <t>Insight 2: Mileage Distribution Across Categories</t>
  </si>
  <si>
    <t>- Manual transmission vehicles exhibit a significantly higher average mileage.</t>
  </si>
  <si>
    <t>- This suggests Manual vehicles in this dataset are predominantly older models or utilized for commercial/heavy-duty purposes.</t>
  </si>
  <si>
    <t>- Automatic vehicles tend to have lower accumulated mileage on average, typical of personal commuter use.</t>
  </si>
  <si>
    <t>Model</t>
  </si>
  <si>
    <t>Year</t>
  </si>
  <si>
    <t>Mileage</t>
  </si>
  <si>
    <t>Color</t>
  </si>
  <si>
    <t>Type</t>
  </si>
  <si>
    <t>Fuel</t>
  </si>
  <si>
    <t>Hyundai Elantra HD</t>
  </si>
  <si>
    <t>Gray</t>
  </si>
  <si>
    <t>Gasoline</t>
  </si>
  <si>
    <t>Hyundai Elantra</t>
  </si>
  <si>
    <t>Black</t>
  </si>
  <si>
    <t>Silver</t>
  </si>
  <si>
    <t>Eggplant</t>
  </si>
  <si>
    <t>Bronze</t>
  </si>
  <si>
    <t>Hyundai Accent RB</t>
  </si>
  <si>
    <t>Red</t>
  </si>
  <si>
    <t>Mocha</t>
  </si>
  <si>
    <t>Cyan</t>
  </si>
  <si>
    <t>Hyundai Accent</t>
  </si>
  <si>
    <t>Veronica</t>
  </si>
  <si>
    <t>Dark Blue</t>
  </si>
  <si>
    <t>Dark Red</t>
  </si>
  <si>
    <t>Hyundai Verna</t>
  </si>
  <si>
    <t>White</t>
  </si>
  <si>
    <t>Hyundai Atos</t>
  </si>
  <si>
    <t>KIA Cerato</t>
  </si>
  <si>
    <t>Blue</t>
  </si>
  <si>
    <t>KIA Sol</t>
  </si>
  <si>
    <t>KIA Picanto</t>
  </si>
  <si>
    <t>Yellow</t>
  </si>
  <si>
    <t>KIA Rio</t>
  </si>
  <si>
    <t>KIA K3</t>
  </si>
  <si>
    <t>Petroleum</t>
  </si>
  <si>
    <t>Nissan Qashqai</t>
  </si>
  <si>
    <t>Brown</t>
  </si>
  <si>
    <t>KIA Sporatge</t>
  </si>
  <si>
    <t>Dark Grey</t>
  </si>
  <si>
    <t>Hyundai Tucson Turbo GDI</t>
  </si>
  <si>
    <t>Skoda Octavia A8</t>
  </si>
  <si>
    <t>Dark Green</t>
  </si>
  <si>
    <t>Nissan Sunny</t>
  </si>
  <si>
    <t>Nissan Centra</t>
  </si>
  <si>
    <t>Honda City</t>
  </si>
  <si>
    <t>Mercedes GLC 250</t>
  </si>
  <si>
    <t>Volvo XC60</t>
  </si>
  <si>
    <t>Peugeot 308</t>
  </si>
  <si>
    <t>Ford Focus</t>
  </si>
  <si>
    <t>Ssang Yong Torres</t>
  </si>
  <si>
    <t>Chevrolet Optra</t>
  </si>
  <si>
    <t>KIA Carens</t>
  </si>
  <si>
    <t>Volkswagen Tiguan</t>
  </si>
  <si>
    <t>Chevrolet Captiva</t>
  </si>
  <si>
    <t>Mercedes GLC 200</t>
  </si>
  <si>
    <t>Mercedes E 200 AMG</t>
  </si>
  <si>
    <t>Audi Q7</t>
  </si>
  <si>
    <t>Opel Crossland</t>
  </si>
  <si>
    <t>Hyundai Tucson</t>
  </si>
  <si>
    <t>Mercedes E 200</t>
  </si>
  <si>
    <t>Renault Megane</t>
  </si>
  <si>
    <t>Toyota Corolla</t>
  </si>
  <si>
    <t>Jeep Renegade</t>
  </si>
  <si>
    <t>Chevrolet Aveo</t>
  </si>
  <si>
    <t>Hyundai Creta SU2</t>
  </si>
  <si>
    <t>Chery Tiggo 7</t>
  </si>
  <si>
    <t>Mercedes C 180</t>
  </si>
  <si>
    <t>Opel Insignia</t>
  </si>
  <si>
    <t>Peugeot 3008</t>
  </si>
  <si>
    <t>Peugeot  508</t>
  </si>
  <si>
    <t>Chery Arrizo 5</t>
  </si>
  <si>
    <t>Mitsubishi Xpander</t>
  </si>
  <si>
    <t>Audi Q3</t>
  </si>
  <si>
    <t>Nissan Juke</t>
  </si>
  <si>
    <t>Champange</t>
  </si>
  <si>
    <t>Chevrolet Lanos</t>
  </si>
  <si>
    <t>Hyundai Elantra MD</t>
  </si>
  <si>
    <t>BMW 320</t>
  </si>
  <si>
    <t>Skoda Kodiaq</t>
  </si>
  <si>
    <t>Audi A3</t>
  </si>
  <si>
    <t>Jeep Grand Cherokee</t>
  </si>
  <si>
    <t>KIA Sorento</t>
  </si>
  <si>
    <t>KIA Carnival</t>
  </si>
  <si>
    <t>Fiat Tipo</t>
  </si>
  <si>
    <t>BMW 318</t>
  </si>
  <si>
    <t>Honda Civic</t>
  </si>
  <si>
    <t>Gold</t>
  </si>
  <si>
    <t>Renault Kadjar</t>
  </si>
  <si>
    <t>Speranza Tiggo</t>
  </si>
  <si>
    <t>Hyundai Matrix</t>
  </si>
  <si>
    <t>Mahindra Scorpio</t>
  </si>
  <si>
    <t>Renault Duster</t>
  </si>
  <si>
    <t>Speranza A113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</si>
</sst>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1"/>
      <name val="Segoe UI"/>
      <charset val="134"/>
    </font>
    <font>
      <b/>
      <sz val="16"/>
      <color rgb="FFFFFFFF"/>
      <name val="Segoe UI"/>
      <charset val="134"/>
    </font>
    <font>
      <i/>
      <sz val="9"/>
      <color rgb="FF595959"/>
      <name val="Segoe UI"/>
      <charset val="134"/>
    </font>
    <font>
      <b/>
      <sz val="16"/>
      <color rgb="FF1F497D"/>
      <name val="Segoe UI"/>
      <charset val="134"/>
    </font>
    <font>
      <b/>
      <sz val="12"/>
      <color rgb="FF1F497D"/>
      <name val="Segoe UI"/>
      <charset val="134"/>
    </font>
    <font>
      <b/>
      <sz val="1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E9EDF4"/>
        <bgColor rgb="FFE9ED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/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1" fillId="2" borderId="0" xfId="0" applyFont="1" applyFill="1"/>
    <xf numFmtId="0" fontId="2" fillId="0" borderId="1" xfId="0" applyFont="1" applyBorder="1"/>
    <xf numFmtId="3" fontId="2" fillId="0" borderId="1" xfId="0" applyNumberFormat="1" applyFont="1" applyBorder="1"/>
    <xf numFmtId="0" fontId="7" fillId="0" borderId="2" xfId="0" applyFont="1" applyBorder="1"/>
    <xf numFmtId="3" fontId="7" fillId="0" borderId="2" xfId="0" applyNumberFormat="1" applyFont="1" applyBorder="1"/>
    <xf numFmtId="0" fontId="7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Insight 1: Inventory Volume by Transmission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Insights'!$B$9</c:f>
              <c:strCache>
                <c:ptCount val="1"/>
                <c:pt idx="0">
                  <c:v>Vehicle Count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'Dashboard &amp; Insights'!$A$10:$A$12</c:f>
              <c:strCache>
                <c:ptCount val="3"/>
                <c:pt idx="0">
                  <c:v>Automatic</c:v>
                </c:pt>
                <c:pt idx="1">
                  <c:v>Manual</c:v>
                </c:pt>
                <c:pt idx="2">
                  <c:v>Unknown</c:v>
                </c:pt>
              </c:strCache>
            </c:strRef>
          </c:cat>
          <c:val>
            <c:numRef>
              <c:f>'Dashboard &amp; Insights'!$B$10:$B$12</c:f>
              <c:numCache>
                <c:formatCode>#,##0</c:formatCode>
                <c:ptCount val="3"/>
                <c:pt idx="0">
                  <c:v>151</c:v>
                </c:pt>
                <c:pt idx="1">
                  <c:v>24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Transmission 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Vehicles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75bba2c-b94c-4249-ac96-2c749fbe772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Insight 2: Average Mileage by Transmission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Insights'!$C$9</c:f>
              <c:strCache>
                <c:ptCount val="1"/>
                <c:pt idx="0">
                  <c:v>Average Mileage (km)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'Dashboard &amp; Insights'!$A$10:$A$12</c:f>
              <c:strCache>
                <c:ptCount val="3"/>
                <c:pt idx="0">
                  <c:v>Automatic</c:v>
                </c:pt>
                <c:pt idx="1">
                  <c:v>Manual</c:v>
                </c:pt>
                <c:pt idx="2">
                  <c:v>Unknown</c:v>
                </c:pt>
              </c:strCache>
            </c:strRef>
          </c:cat>
          <c:val>
            <c:numRef>
              <c:f>'Dashboard &amp; Insights'!$C$10:$C$12</c:f>
              <c:numCache>
                <c:formatCode>#,##0</c:formatCode>
                <c:ptCount val="3"/>
                <c:pt idx="0">
                  <c:v>109373.38410596</c:v>
                </c:pt>
                <c:pt idx="1">
                  <c:v>186876.416666667</c:v>
                </c:pt>
                <c:pt idx="2">
                  <c:v>88500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Transmission 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Mileage (km)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9b7cda3-ddb5-4068-80d2-6692e39ffb4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504825</xdr:colOff>
      <xdr:row>4</xdr:row>
      <xdr:rowOff>9525</xdr:rowOff>
    </xdr:from>
    <xdr:ext cx="3960000" cy="3904800"/>
    <xdr:graphicFrame>
      <xdr:nvGraphicFramePr>
        <xdr:cNvPr id="2" name="Chart 1"/>
        <xdr:cNvGraphicFramePr/>
      </xdr:nvGraphicFramePr>
      <xdr:xfrm>
        <a:off x="11972925" y="771525"/>
        <a:ext cx="3959860" cy="3904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14</xdr:row>
      <xdr:rowOff>0</xdr:rowOff>
    </xdr:from>
    <xdr:ext cx="3960000" cy="3761925"/>
    <xdr:graphicFrame>
      <xdr:nvGraphicFramePr>
        <xdr:cNvPr id="3" name="Chart 2"/>
        <xdr:cNvGraphicFramePr/>
      </xdr:nvGraphicFramePr>
      <xdr:xfrm>
        <a:off x="0" y="2943225"/>
        <a:ext cx="3959860" cy="3761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F12" sqref="F12"/>
    </sheetView>
  </sheetViews>
  <sheetFormatPr defaultColWidth="9" defaultRowHeight="15" outlineLevelCol="6"/>
  <cols>
    <col min="1" max="1" width="24" customWidth="1"/>
    <col min="2" max="2" width="18" customWidth="1"/>
    <col min="3" max="3" width="24" customWidth="1"/>
    <col min="4" max="4" width="10" customWidth="1"/>
    <col min="5" max="7" width="26" customWidth="1"/>
  </cols>
  <sheetData>
    <row r="1" spans="1:1">
      <c r="A1" s="8" t="s">
        <v>0</v>
      </c>
    </row>
    <row r="4" spans="1:7">
      <c r="A4" s="9" t="s">
        <v>1</v>
      </c>
      <c r="B4" s="10"/>
      <c r="C4" s="10"/>
      <c r="E4" s="9" t="s">
        <v>2</v>
      </c>
      <c r="F4" s="10"/>
      <c r="G4" s="10"/>
    </row>
    <row r="5" ht="25.5" spans="1:7">
      <c r="A5" s="11">
        <f>COUNTA('Cleaned Data'!A2:A180)</f>
        <v>179</v>
      </c>
      <c r="B5" s="10"/>
      <c r="C5" s="10"/>
      <c r="E5" s="12">
        <f>AVERAGE('Cleaned Data'!C2:C180)</f>
        <v>119298.407821229</v>
      </c>
      <c r="F5" s="10"/>
      <c r="G5" s="10"/>
    </row>
    <row r="8" ht="17.25" spans="1:1">
      <c r="A8" s="13" t="s">
        <v>3</v>
      </c>
    </row>
    <row r="9" ht="16.5" spans="1:3">
      <c r="A9" s="14" t="s">
        <v>4</v>
      </c>
      <c r="B9" s="14" t="s">
        <v>5</v>
      </c>
      <c r="C9" s="14" t="s">
        <v>6</v>
      </c>
    </row>
    <row r="10" ht="16.5" spans="1:3">
      <c r="A10" s="15" t="s">
        <v>7</v>
      </c>
      <c r="B10" s="16">
        <f>COUNTIF('Cleaned Data'!E$2:E$180,A10)</f>
        <v>151</v>
      </c>
      <c r="C10" s="16">
        <f>AVERAGEIF('Cleaned Data'!E$2:E$180,A10,'Cleaned Data'!C$2:C$180)</f>
        <v>109373.38410596</v>
      </c>
    </row>
    <row r="11" ht="16.5" spans="1:3">
      <c r="A11" s="15" t="s">
        <v>8</v>
      </c>
      <c r="B11" s="16">
        <f>COUNTIF('Cleaned Data'!E$2:E$180,A11)</f>
        <v>24</v>
      </c>
      <c r="C11" s="16">
        <f>AVERAGEIF('Cleaned Data'!E$2:E$180,A11,'Cleaned Data'!C$2:C$180)</f>
        <v>186876.416666667</v>
      </c>
    </row>
    <row r="12" ht="16.5" spans="1:3">
      <c r="A12" s="15" t="s">
        <v>9</v>
      </c>
      <c r="B12" s="16">
        <f>COUNTIF('Cleaned Data'!E$2:E$180,A12)</f>
        <v>4</v>
      </c>
      <c r="C12" s="16">
        <f>AVERAGEIF('Cleaned Data'!E$2:E$180,A12,'Cleaned Data'!C$2:C$180)</f>
        <v>88500</v>
      </c>
    </row>
    <row r="13" ht="17.25" spans="1:3">
      <c r="A13" s="17" t="s">
        <v>10</v>
      </c>
      <c r="B13" s="18">
        <f>SUM(B10:B12)</f>
        <v>179</v>
      </c>
      <c r="C13" s="18">
        <f>AVERAGE(C10:C12)</f>
        <v>128249.933590876</v>
      </c>
    </row>
    <row r="14" ht="15.75"/>
    <row r="15" ht="17.25" spans="5:5">
      <c r="E15" s="13" t="s">
        <v>11</v>
      </c>
    </row>
    <row r="17" ht="16.5" spans="5:5">
      <c r="E17" s="19" t="s">
        <v>12</v>
      </c>
    </row>
    <row r="18" ht="16.5" spans="5:5">
      <c r="E18" s="20" t="s">
        <v>13</v>
      </c>
    </row>
    <row r="19" ht="16.5" spans="5:5">
      <c r="E19" s="20" t="s">
        <v>14</v>
      </c>
    </row>
    <row r="22" ht="16.5" spans="5:5">
      <c r="E22" s="19" t="s">
        <v>15</v>
      </c>
    </row>
    <row r="23" ht="16.5" spans="5:5">
      <c r="E23" s="20" t="s">
        <v>16</v>
      </c>
    </row>
    <row r="24" ht="16.5" spans="5:5">
      <c r="E24" s="20" t="s">
        <v>17</v>
      </c>
    </row>
    <row r="25" ht="16.5" spans="5:5">
      <c r="E25" s="20" t="s">
        <v>18</v>
      </c>
    </row>
  </sheetData>
  <mergeCells count="5">
    <mergeCell ref="A4:C4"/>
    <mergeCell ref="E4:G4"/>
    <mergeCell ref="A5:C5"/>
    <mergeCell ref="E5:G5"/>
    <mergeCell ref="A1:G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27" customWidth="1"/>
    <col min="2" max="3" width="12" customWidth="1"/>
    <col min="4" max="4" width="13" customWidth="1"/>
    <col min="5" max="6" width="12" customWidth="1"/>
  </cols>
  <sheetData>
    <row r="1" ht="16.5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ht="16.5" spans="1:6">
      <c r="A2" s="2" t="s">
        <v>25</v>
      </c>
      <c r="B2" s="3">
        <v>2009</v>
      </c>
      <c r="C2" s="4">
        <v>165000</v>
      </c>
      <c r="D2" s="2" t="s">
        <v>26</v>
      </c>
      <c r="E2" s="2" t="s">
        <v>7</v>
      </c>
      <c r="F2" s="2" t="s">
        <v>27</v>
      </c>
    </row>
    <row r="3" ht="16.5" spans="1:6">
      <c r="A3" s="5" t="s">
        <v>28</v>
      </c>
      <c r="B3" s="6">
        <v>2010</v>
      </c>
      <c r="C3" s="7">
        <v>194000</v>
      </c>
      <c r="D3" s="5" t="s">
        <v>29</v>
      </c>
      <c r="E3" s="5" t="s">
        <v>7</v>
      </c>
      <c r="F3" s="5" t="s">
        <v>27</v>
      </c>
    </row>
    <row r="4" ht="16.5" spans="1:6">
      <c r="A4" s="2" t="s">
        <v>25</v>
      </c>
      <c r="B4" s="3">
        <v>2010</v>
      </c>
      <c r="C4" s="4">
        <v>205000</v>
      </c>
      <c r="D4" s="2" t="s">
        <v>30</v>
      </c>
      <c r="E4" s="2" t="s">
        <v>7</v>
      </c>
      <c r="F4" s="2" t="s">
        <v>27</v>
      </c>
    </row>
    <row r="5" ht="16.5" spans="1:6">
      <c r="A5" s="5" t="s">
        <v>28</v>
      </c>
      <c r="B5" s="6">
        <v>2010</v>
      </c>
      <c r="C5" s="7">
        <v>160000</v>
      </c>
      <c r="D5" s="5" t="s">
        <v>29</v>
      </c>
      <c r="E5" s="5" t="s">
        <v>7</v>
      </c>
      <c r="F5" s="5" t="s">
        <v>27</v>
      </c>
    </row>
    <row r="6" ht="16.5" spans="1:6">
      <c r="A6" s="2" t="s">
        <v>28</v>
      </c>
      <c r="B6" s="3">
        <v>2009</v>
      </c>
      <c r="C6" s="4">
        <v>140451</v>
      </c>
      <c r="D6" s="2" t="s">
        <v>31</v>
      </c>
      <c r="E6" s="2" t="s">
        <v>7</v>
      </c>
      <c r="F6" s="2" t="s">
        <v>27</v>
      </c>
    </row>
    <row r="7" ht="16.5" spans="1:6">
      <c r="A7" s="5" t="s">
        <v>28</v>
      </c>
      <c r="B7" s="6">
        <v>2009</v>
      </c>
      <c r="C7" s="7">
        <v>380000</v>
      </c>
      <c r="D7" s="5" t="s">
        <v>29</v>
      </c>
      <c r="E7" s="5" t="s">
        <v>7</v>
      </c>
      <c r="F7" s="5" t="s">
        <v>27</v>
      </c>
    </row>
    <row r="8" ht="16.5" spans="1:6">
      <c r="A8" s="2" t="s">
        <v>28</v>
      </c>
      <c r="B8" s="3">
        <v>2010</v>
      </c>
      <c r="C8" s="4">
        <v>220000</v>
      </c>
      <c r="D8" s="2" t="s">
        <v>29</v>
      </c>
      <c r="E8" s="2" t="s">
        <v>7</v>
      </c>
      <c r="F8" s="2" t="s">
        <v>27</v>
      </c>
    </row>
    <row r="9" ht="16.5" spans="1:6">
      <c r="A9" s="5" t="s">
        <v>28</v>
      </c>
      <c r="B9" s="6">
        <v>2010</v>
      </c>
      <c r="C9" s="7">
        <v>200000</v>
      </c>
      <c r="D9" s="5" t="s">
        <v>30</v>
      </c>
      <c r="E9" s="5" t="s">
        <v>7</v>
      </c>
      <c r="F9" s="5" t="s">
        <v>27</v>
      </c>
    </row>
    <row r="10" ht="16.5" spans="1:6">
      <c r="A10" s="2" t="s">
        <v>25</v>
      </c>
      <c r="B10" s="3">
        <v>2009</v>
      </c>
      <c r="C10" s="4">
        <v>100000</v>
      </c>
      <c r="D10" s="2" t="s">
        <v>32</v>
      </c>
      <c r="E10" s="2" t="s">
        <v>7</v>
      </c>
      <c r="F10" s="2" t="s">
        <v>9</v>
      </c>
    </row>
    <row r="11" ht="16.5" spans="1:6">
      <c r="A11" s="5" t="s">
        <v>33</v>
      </c>
      <c r="B11" s="6">
        <v>2012</v>
      </c>
      <c r="C11" s="7">
        <v>138000</v>
      </c>
      <c r="D11" s="5" t="s">
        <v>30</v>
      </c>
      <c r="E11" s="5" t="s">
        <v>7</v>
      </c>
      <c r="F11" s="5" t="s">
        <v>27</v>
      </c>
    </row>
    <row r="12" ht="16.5" spans="1:6">
      <c r="A12" s="2" t="s">
        <v>33</v>
      </c>
      <c r="B12" s="3">
        <v>2012</v>
      </c>
      <c r="C12" s="4">
        <v>188000</v>
      </c>
      <c r="D12" s="2" t="s">
        <v>26</v>
      </c>
      <c r="E12" s="2" t="s">
        <v>7</v>
      </c>
      <c r="F12" s="2" t="s">
        <v>27</v>
      </c>
    </row>
    <row r="13" ht="16.5" spans="1:6">
      <c r="A13" s="5" t="s">
        <v>33</v>
      </c>
      <c r="B13" s="6">
        <v>2011</v>
      </c>
      <c r="C13" s="7">
        <v>220000</v>
      </c>
      <c r="D13" s="5" t="s">
        <v>9</v>
      </c>
      <c r="E13" s="5" t="s">
        <v>7</v>
      </c>
      <c r="F13" s="5" t="s">
        <v>27</v>
      </c>
    </row>
    <row r="14" ht="16.5" spans="1:6">
      <c r="A14" s="2" t="s">
        <v>33</v>
      </c>
      <c r="B14" s="3">
        <v>2011</v>
      </c>
      <c r="C14" s="4">
        <v>179000</v>
      </c>
      <c r="D14" s="2" t="s">
        <v>30</v>
      </c>
      <c r="E14" s="2" t="s">
        <v>7</v>
      </c>
      <c r="F14" s="2" t="s">
        <v>27</v>
      </c>
    </row>
    <row r="15" ht="16.5" spans="1:6">
      <c r="A15" s="5" t="s">
        <v>33</v>
      </c>
      <c r="B15" s="6">
        <v>2012</v>
      </c>
      <c r="C15" s="7">
        <v>125800</v>
      </c>
      <c r="D15" s="5" t="s">
        <v>29</v>
      </c>
      <c r="E15" s="5" t="s">
        <v>7</v>
      </c>
      <c r="F15" s="5" t="s">
        <v>27</v>
      </c>
    </row>
    <row r="16" ht="16.5" spans="1:6">
      <c r="A16" s="2" t="s">
        <v>33</v>
      </c>
      <c r="B16" s="3">
        <v>2012</v>
      </c>
      <c r="C16" s="4">
        <v>135000</v>
      </c>
      <c r="D16" s="2" t="s">
        <v>30</v>
      </c>
      <c r="E16" s="2" t="s">
        <v>9</v>
      </c>
      <c r="F16" s="2" t="s">
        <v>27</v>
      </c>
    </row>
    <row r="17" ht="16.5" spans="1:6">
      <c r="A17" s="5" t="s">
        <v>33</v>
      </c>
      <c r="B17" s="6">
        <v>2012</v>
      </c>
      <c r="C17" s="7">
        <v>176000</v>
      </c>
      <c r="D17" s="5" t="s">
        <v>34</v>
      </c>
      <c r="E17" s="5" t="s">
        <v>7</v>
      </c>
      <c r="F17" s="5" t="s">
        <v>27</v>
      </c>
    </row>
    <row r="18" ht="16.5" spans="1:6">
      <c r="A18" s="2" t="s">
        <v>33</v>
      </c>
      <c r="B18" s="3">
        <v>2012</v>
      </c>
      <c r="C18" s="4">
        <v>161000</v>
      </c>
      <c r="D18" s="2" t="s">
        <v>32</v>
      </c>
      <c r="E18" s="2" t="s">
        <v>8</v>
      </c>
      <c r="F18" s="2" t="s">
        <v>27</v>
      </c>
    </row>
    <row r="19" ht="16.5" spans="1:6">
      <c r="A19" s="5" t="s">
        <v>33</v>
      </c>
      <c r="B19" s="6">
        <v>2012</v>
      </c>
      <c r="C19" s="7">
        <v>145000</v>
      </c>
      <c r="D19" s="5" t="s">
        <v>35</v>
      </c>
      <c r="E19" s="5" t="s">
        <v>7</v>
      </c>
      <c r="F19" s="5" t="s">
        <v>27</v>
      </c>
    </row>
    <row r="20" ht="16.5" spans="1:6">
      <c r="A20" s="2" t="s">
        <v>33</v>
      </c>
      <c r="B20" s="3">
        <v>2012</v>
      </c>
      <c r="C20" s="4">
        <v>270000</v>
      </c>
      <c r="D20" s="2" t="s">
        <v>36</v>
      </c>
      <c r="E20" s="2" t="s">
        <v>8</v>
      </c>
      <c r="F20" s="2" t="s">
        <v>27</v>
      </c>
    </row>
    <row r="21" ht="16.5" spans="1:6">
      <c r="A21" s="5" t="s">
        <v>37</v>
      </c>
      <c r="B21" s="6">
        <v>2010</v>
      </c>
      <c r="C21" s="7">
        <v>280000</v>
      </c>
      <c r="D21" s="5" t="s">
        <v>34</v>
      </c>
      <c r="E21" s="5" t="s">
        <v>7</v>
      </c>
      <c r="F21" s="5" t="s">
        <v>27</v>
      </c>
    </row>
    <row r="22" ht="16.5" spans="1:6">
      <c r="A22" s="2" t="s">
        <v>37</v>
      </c>
      <c r="B22" s="3">
        <v>2010</v>
      </c>
      <c r="C22" s="4">
        <v>240000</v>
      </c>
      <c r="D22" s="2" t="s">
        <v>38</v>
      </c>
      <c r="E22" s="2" t="s">
        <v>8</v>
      </c>
      <c r="F22" s="2" t="s">
        <v>27</v>
      </c>
    </row>
    <row r="23" ht="16.5" spans="1:6">
      <c r="A23" s="5" t="s">
        <v>37</v>
      </c>
      <c r="B23" s="6">
        <v>2010</v>
      </c>
      <c r="C23" s="7">
        <v>500000</v>
      </c>
      <c r="D23" s="5" t="s">
        <v>30</v>
      </c>
      <c r="E23" s="5" t="s">
        <v>8</v>
      </c>
      <c r="F23" s="5" t="s">
        <v>27</v>
      </c>
    </row>
    <row r="24" ht="16.5" spans="1:6">
      <c r="A24" s="2" t="s">
        <v>37</v>
      </c>
      <c r="B24" s="3">
        <v>2009</v>
      </c>
      <c r="C24" s="4">
        <v>280000</v>
      </c>
      <c r="D24" s="2" t="s">
        <v>9</v>
      </c>
      <c r="E24" s="2" t="s">
        <v>8</v>
      </c>
      <c r="F24" s="2" t="s">
        <v>27</v>
      </c>
    </row>
    <row r="25" ht="16.5" spans="1:6">
      <c r="A25" s="5" t="s">
        <v>37</v>
      </c>
      <c r="B25" s="6">
        <v>2009</v>
      </c>
      <c r="C25" s="7">
        <v>95000</v>
      </c>
      <c r="D25" s="5" t="s">
        <v>39</v>
      </c>
      <c r="E25" s="5" t="s">
        <v>7</v>
      </c>
      <c r="F25" s="5" t="s">
        <v>27</v>
      </c>
    </row>
    <row r="26" ht="16.5" spans="1:6">
      <c r="A26" s="2" t="s">
        <v>37</v>
      </c>
      <c r="B26" s="3">
        <v>2010</v>
      </c>
      <c r="C26" s="4">
        <v>148000</v>
      </c>
      <c r="D26" s="2" t="s">
        <v>40</v>
      </c>
      <c r="E26" s="2" t="s">
        <v>7</v>
      </c>
      <c r="F26" s="2" t="s">
        <v>27</v>
      </c>
    </row>
    <row r="27" ht="16.5" spans="1:6">
      <c r="A27" s="5" t="s">
        <v>37</v>
      </c>
      <c r="B27" s="6">
        <v>2010</v>
      </c>
      <c r="C27" s="7">
        <v>170000</v>
      </c>
      <c r="D27" s="5" t="s">
        <v>30</v>
      </c>
      <c r="E27" s="5" t="s">
        <v>7</v>
      </c>
      <c r="F27" s="5" t="s">
        <v>27</v>
      </c>
    </row>
    <row r="28" ht="16.5" spans="1:6">
      <c r="A28" s="2" t="s">
        <v>41</v>
      </c>
      <c r="B28" s="3">
        <v>2014</v>
      </c>
      <c r="C28" s="4">
        <v>52000</v>
      </c>
      <c r="D28" s="2" t="s">
        <v>30</v>
      </c>
      <c r="E28" s="2" t="s">
        <v>8</v>
      </c>
      <c r="F28" s="2" t="s">
        <v>27</v>
      </c>
    </row>
    <row r="29" ht="16.5" spans="1:6">
      <c r="A29" s="5" t="s">
        <v>41</v>
      </c>
      <c r="B29" s="6">
        <v>2013</v>
      </c>
      <c r="C29" s="7">
        <v>260000</v>
      </c>
      <c r="D29" s="5" t="s">
        <v>30</v>
      </c>
      <c r="E29" s="5" t="s">
        <v>8</v>
      </c>
      <c r="F29" s="5" t="s">
        <v>27</v>
      </c>
    </row>
    <row r="30" ht="16.5" spans="1:6">
      <c r="A30" s="2" t="s">
        <v>41</v>
      </c>
      <c r="B30" s="3">
        <v>2013</v>
      </c>
      <c r="C30" s="4">
        <v>22500</v>
      </c>
      <c r="D30" s="2" t="s">
        <v>29</v>
      </c>
      <c r="E30" s="2" t="s">
        <v>8</v>
      </c>
      <c r="F30" s="2" t="s">
        <v>27</v>
      </c>
    </row>
    <row r="31" ht="16.5" spans="1:6">
      <c r="A31" s="5" t="s">
        <v>41</v>
      </c>
      <c r="B31" s="6">
        <v>2014</v>
      </c>
      <c r="C31" s="7">
        <v>298534</v>
      </c>
      <c r="D31" s="5" t="s">
        <v>30</v>
      </c>
      <c r="E31" s="5" t="s">
        <v>8</v>
      </c>
      <c r="F31" s="5" t="s">
        <v>27</v>
      </c>
    </row>
    <row r="32" ht="16.5" spans="1:6">
      <c r="A32" s="2" t="s">
        <v>41</v>
      </c>
      <c r="B32" s="3">
        <v>2013</v>
      </c>
      <c r="C32" s="4">
        <v>400000</v>
      </c>
      <c r="D32" s="2" t="s">
        <v>30</v>
      </c>
      <c r="E32" s="2" t="s">
        <v>8</v>
      </c>
      <c r="F32" s="2" t="s">
        <v>27</v>
      </c>
    </row>
    <row r="33" ht="16.5" spans="1:6">
      <c r="A33" s="5" t="s">
        <v>41</v>
      </c>
      <c r="B33" s="6">
        <v>2013</v>
      </c>
      <c r="C33" s="7">
        <v>180000</v>
      </c>
      <c r="D33" s="5" t="s">
        <v>42</v>
      </c>
      <c r="E33" s="5" t="s">
        <v>8</v>
      </c>
      <c r="F33" s="5" t="s">
        <v>27</v>
      </c>
    </row>
    <row r="34" ht="16.5" spans="1:6">
      <c r="A34" s="2" t="s">
        <v>41</v>
      </c>
      <c r="B34" s="3">
        <v>2014</v>
      </c>
      <c r="C34" s="4">
        <v>110000</v>
      </c>
      <c r="D34" s="2" t="s">
        <v>30</v>
      </c>
      <c r="E34" s="2" t="s">
        <v>8</v>
      </c>
      <c r="F34" s="2" t="s">
        <v>27</v>
      </c>
    </row>
    <row r="35" ht="16.5" spans="1:6">
      <c r="A35" s="5" t="s">
        <v>41</v>
      </c>
      <c r="B35" s="6">
        <v>2014</v>
      </c>
      <c r="C35" s="7">
        <v>110000</v>
      </c>
      <c r="D35" s="5" t="s">
        <v>35</v>
      </c>
      <c r="E35" s="5" t="s">
        <v>8</v>
      </c>
      <c r="F35" s="5" t="s">
        <v>27</v>
      </c>
    </row>
    <row r="36" ht="16.5" spans="1:6">
      <c r="A36" s="2" t="s">
        <v>41</v>
      </c>
      <c r="B36" s="3">
        <v>2018</v>
      </c>
      <c r="C36" s="4">
        <v>95000</v>
      </c>
      <c r="D36" s="2" t="s">
        <v>40</v>
      </c>
      <c r="E36" s="2" t="s">
        <v>7</v>
      </c>
      <c r="F36" s="2" t="s">
        <v>27</v>
      </c>
    </row>
    <row r="37" ht="16.5" spans="1:6">
      <c r="A37" s="5" t="s">
        <v>41</v>
      </c>
      <c r="B37" s="6">
        <v>2019</v>
      </c>
      <c r="C37" s="7">
        <v>95000</v>
      </c>
      <c r="D37" s="5" t="s">
        <v>30</v>
      </c>
      <c r="E37" s="5" t="s">
        <v>8</v>
      </c>
      <c r="F37" s="5" t="s">
        <v>27</v>
      </c>
    </row>
    <row r="38" ht="16.5" spans="1:6">
      <c r="A38" s="2" t="s">
        <v>41</v>
      </c>
      <c r="B38" s="3">
        <v>2018</v>
      </c>
      <c r="C38" s="4">
        <v>377000</v>
      </c>
      <c r="D38" s="2" t="s">
        <v>26</v>
      </c>
      <c r="E38" s="2" t="s">
        <v>8</v>
      </c>
      <c r="F38" s="2" t="s">
        <v>27</v>
      </c>
    </row>
    <row r="39" ht="16.5" spans="1:6">
      <c r="A39" s="5" t="s">
        <v>43</v>
      </c>
      <c r="B39" s="6">
        <v>2010</v>
      </c>
      <c r="C39" s="7">
        <v>142000</v>
      </c>
      <c r="D39" s="5" t="s">
        <v>30</v>
      </c>
      <c r="E39" s="5" t="s">
        <v>8</v>
      </c>
      <c r="F39" s="5" t="s">
        <v>27</v>
      </c>
    </row>
    <row r="40" ht="16.5" spans="1:6">
      <c r="A40" s="2" t="s">
        <v>43</v>
      </c>
      <c r="B40" s="3">
        <v>2011</v>
      </c>
      <c r="C40" s="4">
        <v>114000</v>
      </c>
      <c r="D40" s="2" t="s">
        <v>40</v>
      </c>
      <c r="E40" s="2" t="s">
        <v>8</v>
      </c>
      <c r="F40" s="2" t="s">
        <v>27</v>
      </c>
    </row>
    <row r="41" ht="16.5" spans="1:6">
      <c r="A41" s="5" t="s">
        <v>43</v>
      </c>
      <c r="B41" s="6">
        <v>2010</v>
      </c>
      <c r="C41" s="7">
        <v>106000</v>
      </c>
      <c r="D41" s="5" t="s">
        <v>30</v>
      </c>
      <c r="E41" s="5" t="s">
        <v>8</v>
      </c>
      <c r="F41" s="5" t="s">
        <v>27</v>
      </c>
    </row>
    <row r="42" ht="16.5" spans="1:6">
      <c r="A42" s="2" t="s">
        <v>43</v>
      </c>
      <c r="B42" s="3">
        <v>2010</v>
      </c>
      <c r="C42" s="4">
        <v>93000</v>
      </c>
      <c r="D42" s="2" t="s">
        <v>34</v>
      </c>
      <c r="E42" s="2" t="s">
        <v>8</v>
      </c>
      <c r="F42" s="2" t="s">
        <v>27</v>
      </c>
    </row>
    <row r="43" ht="16.5" spans="1:6">
      <c r="A43" s="5" t="s">
        <v>33</v>
      </c>
      <c r="B43" s="6">
        <v>2019</v>
      </c>
      <c r="C43" s="7">
        <v>105300</v>
      </c>
      <c r="D43" s="5" t="s">
        <v>29</v>
      </c>
      <c r="E43" s="5" t="s">
        <v>7</v>
      </c>
      <c r="F43" s="5" t="s">
        <v>27</v>
      </c>
    </row>
    <row r="44" ht="16.5" spans="1:6">
      <c r="A44" s="2" t="s">
        <v>33</v>
      </c>
      <c r="B44" s="3">
        <v>2019</v>
      </c>
      <c r="C44" s="4">
        <v>46000</v>
      </c>
      <c r="D44" s="2" t="s">
        <v>34</v>
      </c>
      <c r="E44" s="2" t="s">
        <v>7</v>
      </c>
      <c r="F44" s="2" t="s">
        <v>27</v>
      </c>
    </row>
    <row r="45" ht="16.5" spans="1:6">
      <c r="A45" s="5" t="s">
        <v>33</v>
      </c>
      <c r="B45" s="6">
        <v>2019</v>
      </c>
      <c r="C45" s="7">
        <v>150000</v>
      </c>
      <c r="D45" s="5" t="s">
        <v>29</v>
      </c>
      <c r="E45" s="5" t="s">
        <v>7</v>
      </c>
      <c r="F45" s="5" t="s">
        <v>27</v>
      </c>
    </row>
    <row r="46" ht="16.5" spans="1:6">
      <c r="A46" s="2" t="s">
        <v>44</v>
      </c>
      <c r="B46" s="3">
        <v>2022</v>
      </c>
      <c r="C46" s="4">
        <v>55000</v>
      </c>
      <c r="D46" s="2" t="s">
        <v>26</v>
      </c>
      <c r="E46" s="2" t="s">
        <v>7</v>
      </c>
      <c r="F46" s="2" t="s">
        <v>27</v>
      </c>
    </row>
    <row r="47" ht="16.5" spans="1:6">
      <c r="A47" s="5" t="s">
        <v>44</v>
      </c>
      <c r="B47" s="6">
        <v>2022</v>
      </c>
      <c r="C47" s="7">
        <v>84000</v>
      </c>
      <c r="D47" s="5" t="s">
        <v>45</v>
      </c>
      <c r="E47" s="5" t="s">
        <v>7</v>
      </c>
      <c r="F47" s="5" t="s">
        <v>27</v>
      </c>
    </row>
    <row r="48" ht="16.5" spans="1:6">
      <c r="A48" s="2" t="s">
        <v>44</v>
      </c>
      <c r="B48" s="3">
        <v>2022</v>
      </c>
      <c r="C48" s="4">
        <v>57000</v>
      </c>
      <c r="D48" s="2" t="s">
        <v>34</v>
      </c>
      <c r="E48" s="2" t="s">
        <v>7</v>
      </c>
      <c r="F48" s="2" t="s">
        <v>27</v>
      </c>
    </row>
    <row r="49" ht="16.5" spans="1:6">
      <c r="A49" s="5" t="s">
        <v>44</v>
      </c>
      <c r="B49" s="6">
        <v>2022</v>
      </c>
      <c r="C49" s="7">
        <v>54000</v>
      </c>
      <c r="D49" s="5" t="s">
        <v>26</v>
      </c>
      <c r="E49" s="5" t="s">
        <v>7</v>
      </c>
      <c r="F49" s="5" t="s">
        <v>27</v>
      </c>
    </row>
    <row r="50" ht="16.5" spans="1:6">
      <c r="A50" s="2" t="s">
        <v>44</v>
      </c>
      <c r="B50" s="3">
        <v>2022</v>
      </c>
      <c r="C50" s="4">
        <v>56500</v>
      </c>
      <c r="D50" s="2" t="s">
        <v>30</v>
      </c>
      <c r="E50" s="2" t="s">
        <v>7</v>
      </c>
      <c r="F50" s="2" t="s">
        <v>27</v>
      </c>
    </row>
    <row r="51" ht="16.5" spans="1:6">
      <c r="A51" s="5" t="s">
        <v>44</v>
      </c>
      <c r="B51" s="6">
        <v>2023</v>
      </c>
      <c r="C51" s="7">
        <v>20000</v>
      </c>
      <c r="D51" s="5" t="s">
        <v>34</v>
      </c>
      <c r="E51" s="5" t="s">
        <v>7</v>
      </c>
      <c r="F51" s="5" t="s">
        <v>27</v>
      </c>
    </row>
    <row r="52" ht="16.5" spans="1:6">
      <c r="A52" s="2" t="s">
        <v>44</v>
      </c>
      <c r="B52" s="3">
        <v>2022</v>
      </c>
      <c r="C52" s="4">
        <v>75000</v>
      </c>
      <c r="D52" s="2" t="s">
        <v>42</v>
      </c>
      <c r="E52" s="2" t="s">
        <v>7</v>
      </c>
      <c r="F52" s="2" t="s">
        <v>27</v>
      </c>
    </row>
    <row r="53" ht="16.5" spans="1:6">
      <c r="A53" s="5" t="s">
        <v>44</v>
      </c>
      <c r="B53" s="6">
        <v>2022</v>
      </c>
      <c r="C53" s="7">
        <v>120000</v>
      </c>
      <c r="D53" s="5" t="s">
        <v>38</v>
      </c>
      <c r="E53" s="5" t="s">
        <v>7</v>
      </c>
      <c r="F53" s="5" t="s">
        <v>27</v>
      </c>
    </row>
    <row r="54" ht="16.5" spans="1:6">
      <c r="A54" s="2" t="s">
        <v>44</v>
      </c>
      <c r="B54" s="3">
        <v>2023</v>
      </c>
      <c r="C54" s="4">
        <v>32000</v>
      </c>
      <c r="D54" s="2" t="s">
        <v>30</v>
      </c>
      <c r="E54" s="2" t="s">
        <v>7</v>
      </c>
      <c r="F54" s="2" t="s">
        <v>27</v>
      </c>
    </row>
    <row r="55" ht="16.5" spans="1:6">
      <c r="A55" s="5" t="s">
        <v>44</v>
      </c>
      <c r="B55" s="6">
        <v>2010</v>
      </c>
      <c r="C55" s="7">
        <v>125000</v>
      </c>
      <c r="D55" s="5" t="s">
        <v>30</v>
      </c>
      <c r="E55" s="5" t="s">
        <v>7</v>
      </c>
      <c r="F55" s="5" t="s">
        <v>27</v>
      </c>
    </row>
    <row r="56" ht="16.5" spans="1:6">
      <c r="A56" s="2" t="s">
        <v>44</v>
      </c>
      <c r="B56" s="3">
        <v>2010</v>
      </c>
      <c r="C56" s="4">
        <v>163000</v>
      </c>
      <c r="D56" s="2" t="s">
        <v>34</v>
      </c>
      <c r="E56" s="2" t="s">
        <v>7</v>
      </c>
      <c r="F56" s="2" t="s">
        <v>27</v>
      </c>
    </row>
    <row r="57" ht="16.5" spans="1:6">
      <c r="A57" s="5" t="s">
        <v>44</v>
      </c>
      <c r="B57" s="6">
        <v>2009</v>
      </c>
      <c r="C57" s="7">
        <v>171000</v>
      </c>
      <c r="D57" s="5" t="s">
        <v>30</v>
      </c>
      <c r="E57" s="5" t="s">
        <v>7</v>
      </c>
      <c r="F57" s="5" t="s">
        <v>27</v>
      </c>
    </row>
    <row r="58" ht="16.5" spans="1:6">
      <c r="A58" s="2" t="s">
        <v>44</v>
      </c>
      <c r="B58" s="3">
        <v>2010</v>
      </c>
      <c r="C58" s="4">
        <v>77000</v>
      </c>
      <c r="D58" s="2" t="s">
        <v>29</v>
      </c>
      <c r="E58" s="2" t="s">
        <v>7</v>
      </c>
      <c r="F58" s="2" t="s">
        <v>27</v>
      </c>
    </row>
    <row r="59" ht="16.5" spans="1:6">
      <c r="A59" s="5" t="s">
        <v>44</v>
      </c>
      <c r="B59" s="6">
        <v>2014</v>
      </c>
      <c r="C59" s="7">
        <v>99000</v>
      </c>
      <c r="D59" s="5" t="s">
        <v>29</v>
      </c>
      <c r="E59" s="5" t="s">
        <v>7</v>
      </c>
      <c r="F59" s="5" t="s">
        <v>27</v>
      </c>
    </row>
    <row r="60" ht="16.5" spans="1:6">
      <c r="A60" s="2" t="s">
        <v>44</v>
      </c>
      <c r="B60" s="3">
        <v>2015</v>
      </c>
      <c r="C60" s="4">
        <v>92000</v>
      </c>
      <c r="D60" s="2" t="s">
        <v>29</v>
      </c>
      <c r="E60" s="2" t="s">
        <v>7</v>
      </c>
      <c r="F60" s="2" t="s">
        <v>27</v>
      </c>
    </row>
    <row r="61" ht="16.5" spans="1:6">
      <c r="A61" s="5" t="s">
        <v>44</v>
      </c>
      <c r="B61" s="6">
        <v>2014</v>
      </c>
      <c r="C61" s="7">
        <v>195000</v>
      </c>
      <c r="D61" s="5" t="s">
        <v>29</v>
      </c>
      <c r="E61" s="5" t="s">
        <v>7</v>
      </c>
      <c r="F61" s="5" t="s">
        <v>27</v>
      </c>
    </row>
    <row r="62" ht="16.5" spans="1:6">
      <c r="A62" s="2" t="s">
        <v>44</v>
      </c>
      <c r="B62" s="3">
        <v>2015</v>
      </c>
      <c r="C62" s="4">
        <v>150000</v>
      </c>
      <c r="D62" s="2" t="s">
        <v>38</v>
      </c>
      <c r="E62" s="2" t="s">
        <v>7</v>
      </c>
      <c r="F62" s="2" t="s">
        <v>27</v>
      </c>
    </row>
    <row r="63" ht="16.5" spans="1:6">
      <c r="A63" s="5" t="s">
        <v>44</v>
      </c>
      <c r="B63" s="6">
        <v>2015</v>
      </c>
      <c r="C63" s="7">
        <v>140000</v>
      </c>
      <c r="D63" s="5" t="s">
        <v>9</v>
      </c>
      <c r="E63" s="5" t="s">
        <v>7</v>
      </c>
      <c r="F63" s="5" t="s">
        <v>27</v>
      </c>
    </row>
    <row r="64" ht="16.5" spans="1:6">
      <c r="A64" s="2" t="s">
        <v>44</v>
      </c>
      <c r="B64" s="3">
        <v>2014</v>
      </c>
      <c r="C64" s="4">
        <v>140000</v>
      </c>
      <c r="D64" s="2" t="s">
        <v>30</v>
      </c>
      <c r="E64" s="2" t="s">
        <v>7</v>
      </c>
      <c r="F64" s="2" t="s">
        <v>27</v>
      </c>
    </row>
    <row r="65" ht="16.5" spans="1:6">
      <c r="A65" s="5" t="s">
        <v>44</v>
      </c>
      <c r="B65" s="6">
        <v>2018</v>
      </c>
      <c r="C65" s="7">
        <v>93000</v>
      </c>
      <c r="D65" s="5" t="s">
        <v>42</v>
      </c>
      <c r="E65" s="5" t="s">
        <v>7</v>
      </c>
      <c r="F65" s="5" t="s">
        <v>27</v>
      </c>
    </row>
    <row r="66" ht="16.5" spans="1:6">
      <c r="A66" s="2" t="s">
        <v>44</v>
      </c>
      <c r="B66" s="3">
        <v>2019</v>
      </c>
      <c r="C66" s="4">
        <v>185000</v>
      </c>
      <c r="D66" s="2" t="s">
        <v>40</v>
      </c>
      <c r="E66" s="2" t="s">
        <v>7</v>
      </c>
      <c r="F66" s="2" t="s">
        <v>27</v>
      </c>
    </row>
    <row r="67" ht="16.5" spans="1:6">
      <c r="A67" s="5" t="s">
        <v>44</v>
      </c>
      <c r="B67" s="6">
        <v>2019</v>
      </c>
      <c r="C67" s="7">
        <v>100000</v>
      </c>
      <c r="D67" s="5" t="s">
        <v>42</v>
      </c>
      <c r="E67" s="5" t="s">
        <v>7</v>
      </c>
      <c r="F67" s="5" t="s">
        <v>27</v>
      </c>
    </row>
    <row r="68" ht="16.5" spans="1:6">
      <c r="A68" s="2" t="s">
        <v>46</v>
      </c>
      <c r="B68" s="3">
        <v>2013</v>
      </c>
      <c r="C68" s="4">
        <v>114000</v>
      </c>
      <c r="D68" s="2" t="s">
        <v>42</v>
      </c>
      <c r="E68" s="2" t="s">
        <v>7</v>
      </c>
      <c r="F68" s="2" t="s">
        <v>27</v>
      </c>
    </row>
    <row r="69" ht="16.5" spans="1:6">
      <c r="A69" s="5" t="s">
        <v>46</v>
      </c>
      <c r="B69" s="6">
        <v>2012</v>
      </c>
      <c r="C69" s="7">
        <v>320000</v>
      </c>
      <c r="D69" s="5" t="s">
        <v>34</v>
      </c>
      <c r="E69" s="5" t="s">
        <v>7</v>
      </c>
      <c r="F69" s="5" t="s">
        <v>27</v>
      </c>
    </row>
    <row r="70" ht="16.5" spans="1:6">
      <c r="A70" s="2" t="s">
        <v>46</v>
      </c>
      <c r="B70" s="3">
        <v>2013</v>
      </c>
      <c r="C70" s="4">
        <v>90000</v>
      </c>
      <c r="D70" s="2" t="s">
        <v>34</v>
      </c>
      <c r="E70" s="2" t="s">
        <v>7</v>
      </c>
      <c r="F70" s="2" t="s">
        <v>27</v>
      </c>
    </row>
    <row r="71" ht="16.5" spans="1:6">
      <c r="A71" s="5" t="s">
        <v>46</v>
      </c>
      <c r="B71" s="6">
        <v>2012</v>
      </c>
      <c r="C71" s="7">
        <v>228000</v>
      </c>
      <c r="D71" s="5" t="s">
        <v>34</v>
      </c>
      <c r="E71" s="5" t="s">
        <v>7</v>
      </c>
      <c r="F71" s="5" t="s">
        <v>27</v>
      </c>
    </row>
    <row r="72" ht="16.5" spans="1:6">
      <c r="A72" s="2" t="s">
        <v>46</v>
      </c>
      <c r="B72" s="3">
        <v>2012</v>
      </c>
      <c r="C72" s="4">
        <v>200000</v>
      </c>
      <c r="D72" s="2" t="s">
        <v>29</v>
      </c>
      <c r="E72" s="2" t="s">
        <v>7</v>
      </c>
      <c r="F72" s="2" t="s">
        <v>27</v>
      </c>
    </row>
    <row r="73" ht="16.5" spans="1:6">
      <c r="A73" s="5" t="s">
        <v>46</v>
      </c>
      <c r="B73" s="6">
        <v>2016</v>
      </c>
      <c r="C73" s="7">
        <v>100000</v>
      </c>
      <c r="D73" s="5" t="s">
        <v>30</v>
      </c>
      <c r="E73" s="5" t="s">
        <v>7</v>
      </c>
      <c r="F73" s="5" t="s">
        <v>27</v>
      </c>
    </row>
    <row r="74" ht="16.5" spans="1:6">
      <c r="A74" s="2" t="s">
        <v>46</v>
      </c>
      <c r="B74" s="3">
        <v>2015</v>
      </c>
      <c r="C74" s="4">
        <v>130000</v>
      </c>
      <c r="D74" s="2" t="s">
        <v>32</v>
      </c>
      <c r="E74" s="2" t="s">
        <v>7</v>
      </c>
      <c r="F74" s="2" t="s">
        <v>27</v>
      </c>
    </row>
    <row r="75" ht="16.5" spans="1:6">
      <c r="A75" s="5" t="s">
        <v>46</v>
      </c>
      <c r="B75" s="6">
        <v>2016</v>
      </c>
      <c r="C75" s="7">
        <v>80000</v>
      </c>
      <c r="D75" s="5" t="s">
        <v>42</v>
      </c>
      <c r="E75" s="5" t="s">
        <v>7</v>
      </c>
      <c r="F75" s="5" t="s">
        <v>27</v>
      </c>
    </row>
    <row r="76" ht="16.5" spans="1:6">
      <c r="A76" s="2" t="s">
        <v>46</v>
      </c>
      <c r="B76" s="3">
        <v>2015</v>
      </c>
      <c r="C76" s="4">
        <v>70000</v>
      </c>
      <c r="D76" s="2" t="s">
        <v>42</v>
      </c>
      <c r="E76" s="2" t="s">
        <v>7</v>
      </c>
      <c r="F76" s="2" t="s">
        <v>27</v>
      </c>
    </row>
    <row r="77" ht="16.5" spans="1:6">
      <c r="A77" s="5" t="s">
        <v>46</v>
      </c>
      <c r="B77" s="6">
        <v>2015</v>
      </c>
      <c r="C77" s="7">
        <v>100000</v>
      </c>
      <c r="D77" s="5" t="s">
        <v>29</v>
      </c>
      <c r="E77" s="5" t="s">
        <v>7</v>
      </c>
      <c r="F77" s="5" t="s">
        <v>27</v>
      </c>
    </row>
    <row r="78" ht="16.5" spans="1:6">
      <c r="A78" s="2" t="s">
        <v>46</v>
      </c>
      <c r="B78" s="3">
        <v>2016</v>
      </c>
      <c r="C78" s="4">
        <v>152000</v>
      </c>
      <c r="D78" s="2" t="s">
        <v>26</v>
      </c>
      <c r="E78" s="2" t="s">
        <v>7</v>
      </c>
      <c r="F78" s="2" t="s">
        <v>27</v>
      </c>
    </row>
    <row r="79" ht="16.5" spans="1:6">
      <c r="A79" s="5" t="s">
        <v>47</v>
      </c>
      <c r="B79" s="6">
        <v>2010</v>
      </c>
      <c r="C79" s="7">
        <v>148000</v>
      </c>
      <c r="D79" s="5" t="s">
        <v>45</v>
      </c>
      <c r="E79" s="5" t="s">
        <v>7</v>
      </c>
      <c r="F79" s="5" t="s">
        <v>27</v>
      </c>
    </row>
    <row r="80" ht="16.5" spans="1:6">
      <c r="A80" s="2" t="s">
        <v>47</v>
      </c>
      <c r="B80" s="3">
        <v>2009</v>
      </c>
      <c r="C80" s="4">
        <v>156000</v>
      </c>
      <c r="D80" s="2" t="s">
        <v>30</v>
      </c>
      <c r="E80" s="2" t="s">
        <v>7</v>
      </c>
      <c r="F80" s="2" t="s">
        <v>27</v>
      </c>
    </row>
    <row r="81" ht="16.5" spans="1:6">
      <c r="A81" s="5" t="s">
        <v>47</v>
      </c>
      <c r="B81" s="6">
        <v>2010</v>
      </c>
      <c r="C81" s="7">
        <v>230000</v>
      </c>
      <c r="D81" s="5" t="s">
        <v>29</v>
      </c>
      <c r="E81" s="5" t="s">
        <v>8</v>
      </c>
      <c r="F81" s="5" t="s">
        <v>27</v>
      </c>
    </row>
    <row r="82" ht="16.5" spans="1:6">
      <c r="A82" s="2" t="s">
        <v>47</v>
      </c>
      <c r="B82" s="3">
        <v>2010</v>
      </c>
      <c r="C82" s="4">
        <v>30000</v>
      </c>
      <c r="D82" s="2" t="s">
        <v>32</v>
      </c>
      <c r="E82" s="2" t="s">
        <v>8</v>
      </c>
      <c r="F82" s="2" t="s">
        <v>27</v>
      </c>
    </row>
    <row r="83" ht="16.5" spans="1:6">
      <c r="A83" s="5" t="s">
        <v>47</v>
      </c>
      <c r="B83" s="6">
        <v>2009</v>
      </c>
      <c r="C83" s="7">
        <v>114000</v>
      </c>
      <c r="D83" s="5" t="s">
        <v>30</v>
      </c>
      <c r="E83" s="5" t="s">
        <v>9</v>
      </c>
      <c r="F83" s="5" t="s">
        <v>27</v>
      </c>
    </row>
    <row r="84" ht="16.5" spans="1:6">
      <c r="A84" s="2" t="s">
        <v>47</v>
      </c>
      <c r="B84" s="3">
        <v>2009</v>
      </c>
      <c r="C84" s="4">
        <v>93000</v>
      </c>
      <c r="D84" s="2" t="s">
        <v>30</v>
      </c>
      <c r="E84" s="2" t="s">
        <v>7</v>
      </c>
      <c r="F84" s="2" t="s">
        <v>27</v>
      </c>
    </row>
    <row r="85" ht="16.5" spans="1:6">
      <c r="A85" s="5" t="s">
        <v>47</v>
      </c>
      <c r="B85" s="6">
        <v>2010</v>
      </c>
      <c r="C85" s="7">
        <v>127000</v>
      </c>
      <c r="D85" s="5" t="s">
        <v>29</v>
      </c>
      <c r="E85" s="5" t="s">
        <v>7</v>
      </c>
      <c r="F85" s="5" t="s">
        <v>27</v>
      </c>
    </row>
    <row r="86" ht="16.5" spans="1:6">
      <c r="A86" s="2" t="s">
        <v>47</v>
      </c>
      <c r="B86" s="3">
        <v>2010</v>
      </c>
      <c r="C86" s="4">
        <v>115000</v>
      </c>
      <c r="D86" s="2" t="s">
        <v>29</v>
      </c>
      <c r="E86" s="2" t="s">
        <v>7</v>
      </c>
      <c r="F86" s="2" t="s">
        <v>27</v>
      </c>
    </row>
    <row r="87" ht="16.5" spans="1:6">
      <c r="A87" s="5" t="s">
        <v>47</v>
      </c>
      <c r="B87" s="6">
        <v>2015</v>
      </c>
      <c r="C87" s="7">
        <v>49000</v>
      </c>
      <c r="D87" s="5" t="s">
        <v>30</v>
      </c>
      <c r="E87" s="5" t="s">
        <v>7</v>
      </c>
      <c r="F87" s="5" t="s">
        <v>27</v>
      </c>
    </row>
    <row r="88" ht="16.5" spans="1:6">
      <c r="A88" s="2" t="s">
        <v>47</v>
      </c>
      <c r="B88" s="3">
        <v>2014</v>
      </c>
      <c r="C88" s="4">
        <v>189000</v>
      </c>
      <c r="D88" s="2" t="s">
        <v>42</v>
      </c>
      <c r="E88" s="2" t="s">
        <v>7</v>
      </c>
      <c r="F88" s="2" t="s">
        <v>27</v>
      </c>
    </row>
    <row r="89" ht="16.5" spans="1:6">
      <c r="A89" s="5" t="s">
        <v>47</v>
      </c>
      <c r="B89" s="6">
        <v>2015</v>
      </c>
      <c r="C89" s="7">
        <v>94000</v>
      </c>
      <c r="D89" s="5" t="s">
        <v>30</v>
      </c>
      <c r="E89" s="5" t="s">
        <v>7</v>
      </c>
      <c r="F89" s="5" t="s">
        <v>27</v>
      </c>
    </row>
    <row r="90" ht="16.5" spans="1:6">
      <c r="A90" s="2" t="s">
        <v>47</v>
      </c>
      <c r="B90" s="3">
        <v>2014</v>
      </c>
      <c r="C90" s="4">
        <v>118000</v>
      </c>
      <c r="D90" s="2" t="s">
        <v>30</v>
      </c>
      <c r="E90" s="2" t="s">
        <v>7</v>
      </c>
      <c r="F90" s="2" t="s">
        <v>27</v>
      </c>
    </row>
    <row r="91" ht="16.5" spans="1:6">
      <c r="A91" s="5" t="s">
        <v>47</v>
      </c>
      <c r="B91" s="6">
        <v>2015</v>
      </c>
      <c r="C91" s="7">
        <v>100000</v>
      </c>
      <c r="D91" s="5" t="s">
        <v>48</v>
      </c>
      <c r="E91" s="5" t="s">
        <v>7</v>
      </c>
      <c r="F91" s="5" t="s">
        <v>27</v>
      </c>
    </row>
    <row r="92" ht="16.5" spans="1:6">
      <c r="A92" s="2" t="s">
        <v>49</v>
      </c>
      <c r="B92" s="3">
        <v>2019</v>
      </c>
      <c r="C92" s="4">
        <v>65000</v>
      </c>
      <c r="D92" s="2" t="s">
        <v>42</v>
      </c>
      <c r="E92" s="2" t="s">
        <v>7</v>
      </c>
      <c r="F92" s="2" t="s">
        <v>27</v>
      </c>
    </row>
    <row r="93" ht="16.5" spans="1:6">
      <c r="A93" s="5" t="s">
        <v>49</v>
      </c>
      <c r="B93" s="6">
        <v>2019</v>
      </c>
      <c r="C93" s="7">
        <v>133000</v>
      </c>
      <c r="D93" s="5" t="s">
        <v>38</v>
      </c>
      <c r="E93" s="5" t="s">
        <v>7</v>
      </c>
      <c r="F93" s="5" t="s">
        <v>27</v>
      </c>
    </row>
    <row r="94" ht="16.5" spans="1:6">
      <c r="A94" s="2" t="s">
        <v>49</v>
      </c>
      <c r="B94" s="3">
        <v>2020</v>
      </c>
      <c r="C94" s="4">
        <v>79000</v>
      </c>
      <c r="D94" s="2" t="s">
        <v>34</v>
      </c>
      <c r="E94" s="2" t="s">
        <v>7</v>
      </c>
      <c r="F94" s="2" t="s">
        <v>27</v>
      </c>
    </row>
    <row r="95" ht="16.5" spans="1:6">
      <c r="A95" s="5" t="s">
        <v>50</v>
      </c>
      <c r="B95" s="6">
        <v>2017</v>
      </c>
      <c r="C95" s="7">
        <v>130000</v>
      </c>
      <c r="D95" s="5" t="s">
        <v>29</v>
      </c>
      <c r="E95" s="5" t="s">
        <v>7</v>
      </c>
      <c r="F95" s="5" t="s">
        <v>9</v>
      </c>
    </row>
    <row r="96" ht="16.5" spans="1:6">
      <c r="A96" s="2" t="s">
        <v>50</v>
      </c>
      <c r="B96" s="3">
        <v>2017</v>
      </c>
      <c r="C96" s="4">
        <v>122000</v>
      </c>
      <c r="D96" s="2" t="s">
        <v>29</v>
      </c>
      <c r="E96" s="2" t="s">
        <v>7</v>
      </c>
      <c r="F96" s="2" t="s">
        <v>27</v>
      </c>
    </row>
    <row r="97" ht="16.5" spans="1:6">
      <c r="A97" s="5" t="s">
        <v>50</v>
      </c>
      <c r="B97" s="6">
        <v>2016</v>
      </c>
      <c r="C97" s="7">
        <v>95000</v>
      </c>
      <c r="D97" s="5" t="s">
        <v>42</v>
      </c>
      <c r="E97" s="5" t="s">
        <v>7</v>
      </c>
      <c r="F97" s="5" t="s">
        <v>27</v>
      </c>
    </row>
    <row r="98" ht="16.5" spans="1:6">
      <c r="A98" s="2" t="s">
        <v>50</v>
      </c>
      <c r="B98" s="3">
        <v>2016</v>
      </c>
      <c r="C98" s="4">
        <v>80000</v>
      </c>
      <c r="D98" s="2" t="s">
        <v>51</v>
      </c>
      <c r="E98" s="2" t="s">
        <v>9</v>
      </c>
      <c r="F98" s="2" t="s">
        <v>27</v>
      </c>
    </row>
    <row r="99" ht="16.5" spans="1:6">
      <c r="A99" s="5" t="s">
        <v>52</v>
      </c>
      <c r="B99" s="6">
        <v>2018</v>
      </c>
      <c r="C99" s="7">
        <v>85000</v>
      </c>
      <c r="D99" s="5" t="s">
        <v>53</v>
      </c>
      <c r="E99" s="5" t="s">
        <v>7</v>
      </c>
      <c r="F99" s="5" t="s">
        <v>27</v>
      </c>
    </row>
    <row r="100" ht="16.5" spans="1:6">
      <c r="A100" s="2" t="s">
        <v>54</v>
      </c>
      <c r="B100" s="3">
        <v>2019</v>
      </c>
      <c r="C100" s="4">
        <v>65000</v>
      </c>
      <c r="D100" s="2" t="s">
        <v>55</v>
      </c>
      <c r="E100" s="2" t="s">
        <v>7</v>
      </c>
      <c r="F100" s="2" t="s">
        <v>27</v>
      </c>
    </row>
    <row r="101" ht="16.5" spans="1:6">
      <c r="A101" s="5" t="s">
        <v>56</v>
      </c>
      <c r="B101" s="6">
        <v>2019</v>
      </c>
      <c r="C101" s="7">
        <v>103000</v>
      </c>
      <c r="D101" s="5" t="s">
        <v>34</v>
      </c>
      <c r="E101" s="5" t="s">
        <v>7</v>
      </c>
      <c r="F101" s="5" t="s">
        <v>27</v>
      </c>
    </row>
    <row r="102" ht="16.5" spans="1:6">
      <c r="A102" s="2" t="s">
        <v>57</v>
      </c>
      <c r="B102" s="3">
        <v>2022</v>
      </c>
      <c r="C102" s="4">
        <v>107000</v>
      </c>
      <c r="D102" s="2" t="s">
        <v>39</v>
      </c>
      <c r="E102" s="2" t="s">
        <v>7</v>
      </c>
      <c r="F102" s="2" t="s">
        <v>27</v>
      </c>
    </row>
    <row r="103" ht="16.5" spans="1:6">
      <c r="A103" s="5" t="s">
        <v>54</v>
      </c>
      <c r="B103" s="6">
        <v>2023</v>
      </c>
      <c r="C103" s="7">
        <v>62000</v>
      </c>
      <c r="D103" s="5" t="s">
        <v>58</v>
      </c>
      <c r="E103" s="5" t="s">
        <v>7</v>
      </c>
      <c r="F103" s="5" t="s">
        <v>27</v>
      </c>
    </row>
    <row r="104" ht="16.5" spans="1:6">
      <c r="A104" s="2" t="s">
        <v>59</v>
      </c>
      <c r="B104" s="3">
        <v>2024</v>
      </c>
      <c r="C104" s="4">
        <v>6000</v>
      </c>
      <c r="D104" s="2" t="s">
        <v>34</v>
      </c>
      <c r="E104" s="2" t="s">
        <v>7</v>
      </c>
      <c r="F104" s="2" t="s">
        <v>27</v>
      </c>
    </row>
    <row r="105" ht="16.5" spans="1:6">
      <c r="A105" s="5" t="s">
        <v>60</v>
      </c>
      <c r="B105" s="6">
        <v>2018</v>
      </c>
      <c r="C105" s="7">
        <v>110000</v>
      </c>
      <c r="D105" s="5" t="s">
        <v>29</v>
      </c>
      <c r="E105" s="5" t="s">
        <v>7</v>
      </c>
      <c r="F105" s="5" t="s">
        <v>27</v>
      </c>
    </row>
    <row r="106" ht="16.5" spans="1:6">
      <c r="A106" s="2" t="s">
        <v>59</v>
      </c>
      <c r="B106" s="3">
        <v>2022</v>
      </c>
      <c r="C106" s="4">
        <v>65000</v>
      </c>
      <c r="D106" s="2" t="s">
        <v>34</v>
      </c>
      <c r="E106" s="2" t="s">
        <v>7</v>
      </c>
      <c r="F106" s="2" t="s">
        <v>27</v>
      </c>
    </row>
    <row r="107" ht="16.5" spans="1:6">
      <c r="A107" s="5" t="s">
        <v>61</v>
      </c>
      <c r="B107" s="6">
        <v>2021</v>
      </c>
      <c r="C107" s="7">
        <v>45000</v>
      </c>
      <c r="D107" s="5" t="s">
        <v>26</v>
      </c>
      <c r="E107" s="5" t="s">
        <v>7</v>
      </c>
      <c r="F107" s="5" t="s">
        <v>27</v>
      </c>
    </row>
    <row r="108" ht="16.5" spans="1:6">
      <c r="A108" s="2" t="s">
        <v>62</v>
      </c>
      <c r="B108" s="3">
        <v>2019</v>
      </c>
      <c r="C108" s="4">
        <v>61000</v>
      </c>
      <c r="D108" s="2" t="s">
        <v>30</v>
      </c>
      <c r="E108" s="2" t="s">
        <v>7</v>
      </c>
      <c r="F108" s="2" t="s">
        <v>27</v>
      </c>
    </row>
    <row r="109" ht="16.5" spans="1:6">
      <c r="A109" s="5" t="s">
        <v>63</v>
      </c>
      <c r="B109" s="6">
        <v>2018</v>
      </c>
      <c r="C109" s="7">
        <v>110000</v>
      </c>
      <c r="D109" s="5" t="s">
        <v>40</v>
      </c>
      <c r="E109" s="5" t="s">
        <v>7</v>
      </c>
      <c r="F109" s="5" t="s">
        <v>27</v>
      </c>
    </row>
    <row r="110" ht="16.5" spans="1:6">
      <c r="A110" s="2" t="s">
        <v>64</v>
      </c>
      <c r="B110" s="3">
        <v>2016</v>
      </c>
      <c r="C110" s="4">
        <v>110000</v>
      </c>
      <c r="D110" s="2" t="s">
        <v>30</v>
      </c>
      <c r="E110" s="2" t="s">
        <v>7</v>
      </c>
      <c r="F110" s="2" t="s">
        <v>27</v>
      </c>
    </row>
    <row r="111" ht="16.5" spans="1:6">
      <c r="A111" s="5" t="s">
        <v>65</v>
      </c>
      <c r="B111" s="6">
        <v>2014</v>
      </c>
      <c r="C111" s="7">
        <v>198000</v>
      </c>
      <c r="D111" s="5" t="s">
        <v>53</v>
      </c>
      <c r="E111" s="5" t="s">
        <v>7</v>
      </c>
      <c r="F111" s="5" t="s">
        <v>27</v>
      </c>
    </row>
    <row r="112" ht="16.5" spans="1:6">
      <c r="A112" s="2" t="s">
        <v>59</v>
      </c>
      <c r="B112" s="3">
        <v>2020</v>
      </c>
      <c r="C112" s="4">
        <v>127000</v>
      </c>
      <c r="D112" s="2" t="s">
        <v>26</v>
      </c>
      <c r="E112" s="2" t="s">
        <v>7</v>
      </c>
      <c r="F112" s="2" t="s">
        <v>27</v>
      </c>
    </row>
    <row r="113" ht="16.5" spans="1:6">
      <c r="A113" s="5" t="s">
        <v>66</v>
      </c>
      <c r="B113" s="6">
        <v>2023</v>
      </c>
      <c r="C113" s="7">
        <v>4700</v>
      </c>
      <c r="D113" s="5" t="s">
        <v>29</v>
      </c>
      <c r="E113" s="5" t="s">
        <v>7</v>
      </c>
      <c r="F113" s="5" t="s">
        <v>27</v>
      </c>
    </row>
    <row r="114" ht="16.5" spans="1:6">
      <c r="A114" s="2" t="s">
        <v>67</v>
      </c>
      <c r="B114" s="3">
        <v>2017</v>
      </c>
      <c r="C114" s="4">
        <v>79000</v>
      </c>
      <c r="D114" s="2" t="s">
        <v>39</v>
      </c>
      <c r="E114" s="2" t="s">
        <v>7</v>
      </c>
      <c r="F114" s="2" t="s">
        <v>27</v>
      </c>
    </row>
    <row r="115" ht="16.5" spans="1:6">
      <c r="A115" s="5" t="s">
        <v>68</v>
      </c>
      <c r="B115" s="6">
        <v>2024</v>
      </c>
      <c r="C115" s="7">
        <v>4100</v>
      </c>
      <c r="D115" s="5" t="s">
        <v>55</v>
      </c>
      <c r="E115" s="5" t="s">
        <v>7</v>
      </c>
      <c r="F115" s="5" t="s">
        <v>27</v>
      </c>
    </row>
    <row r="116" ht="16.5" spans="1:6">
      <c r="A116" s="2" t="s">
        <v>69</v>
      </c>
      <c r="B116" s="3">
        <v>2023</v>
      </c>
      <c r="C116" s="4">
        <v>23000</v>
      </c>
      <c r="D116" s="2" t="s">
        <v>39</v>
      </c>
      <c r="E116" s="2" t="s">
        <v>7</v>
      </c>
      <c r="F116" s="2" t="s">
        <v>27</v>
      </c>
    </row>
    <row r="117" ht="16.5" spans="1:6">
      <c r="A117" s="5" t="s">
        <v>70</v>
      </c>
      <c r="B117" s="6">
        <v>2021</v>
      </c>
      <c r="C117" s="7">
        <v>100000</v>
      </c>
      <c r="D117" s="5" t="s">
        <v>29</v>
      </c>
      <c r="E117" s="5" t="s">
        <v>7</v>
      </c>
      <c r="F117" s="5" t="s">
        <v>27</v>
      </c>
    </row>
    <row r="118" ht="16.5" spans="1:6">
      <c r="A118" s="2" t="s">
        <v>71</v>
      </c>
      <c r="B118" s="3">
        <v>2020</v>
      </c>
      <c r="C118" s="4">
        <v>49000</v>
      </c>
      <c r="D118" s="2" t="s">
        <v>29</v>
      </c>
      <c r="E118" s="2" t="s">
        <v>7</v>
      </c>
      <c r="F118" s="2" t="s">
        <v>27</v>
      </c>
    </row>
    <row r="119" ht="16.5" spans="1:6">
      <c r="A119" s="5" t="s">
        <v>72</v>
      </c>
      <c r="B119" s="6">
        <v>2021</v>
      </c>
      <c r="C119" s="7">
        <v>25000</v>
      </c>
      <c r="D119" s="5" t="s">
        <v>29</v>
      </c>
      <c r="E119" s="5" t="s">
        <v>9</v>
      </c>
      <c r="F119" s="5" t="s">
        <v>27</v>
      </c>
    </row>
    <row r="120" ht="16.5" spans="1:6">
      <c r="A120" s="2" t="s">
        <v>56</v>
      </c>
      <c r="B120" s="3">
        <v>2024</v>
      </c>
      <c r="C120" s="4">
        <v>3000</v>
      </c>
      <c r="D120" s="2" t="s">
        <v>30</v>
      </c>
      <c r="E120" s="2" t="s">
        <v>7</v>
      </c>
      <c r="F120" s="2" t="s">
        <v>27</v>
      </c>
    </row>
    <row r="121" ht="16.5" spans="1:6">
      <c r="A121" s="5" t="s">
        <v>73</v>
      </c>
      <c r="B121" s="6">
        <v>2021</v>
      </c>
      <c r="C121" s="7">
        <v>70000</v>
      </c>
      <c r="D121" s="5" t="s">
        <v>30</v>
      </c>
      <c r="E121" s="5" t="s">
        <v>7</v>
      </c>
      <c r="F121" s="5" t="s">
        <v>27</v>
      </c>
    </row>
    <row r="122" ht="16.5" spans="1:6">
      <c r="A122" s="2" t="s">
        <v>74</v>
      </c>
      <c r="B122" s="3">
        <v>2022</v>
      </c>
      <c r="C122" s="4">
        <v>37000</v>
      </c>
      <c r="D122" s="2" t="s">
        <v>29</v>
      </c>
      <c r="E122" s="2" t="s">
        <v>7</v>
      </c>
      <c r="F122" s="2" t="s">
        <v>27</v>
      </c>
    </row>
    <row r="123" ht="16.5" spans="1:6">
      <c r="A123" s="5" t="s">
        <v>75</v>
      </c>
      <c r="B123" s="6">
        <v>2022</v>
      </c>
      <c r="C123" s="7">
        <v>48000</v>
      </c>
      <c r="D123" s="5" t="s">
        <v>42</v>
      </c>
      <c r="E123" s="5" t="s">
        <v>7</v>
      </c>
      <c r="F123" s="5" t="s">
        <v>27</v>
      </c>
    </row>
    <row r="124" ht="16.5" spans="1:6">
      <c r="A124" s="2" t="s">
        <v>76</v>
      </c>
      <c r="B124" s="3">
        <v>2021</v>
      </c>
      <c r="C124" s="4">
        <v>35000</v>
      </c>
      <c r="D124" s="2" t="s">
        <v>29</v>
      </c>
      <c r="E124" s="2" t="s">
        <v>7</v>
      </c>
      <c r="F124" s="2" t="s">
        <v>27</v>
      </c>
    </row>
    <row r="125" ht="16.5" spans="1:6">
      <c r="A125" s="5" t="s">
        <v>77</v>
      </c>
      <c r="B125" s="6">
        <v>2017</v>
      </c>
      <c r="C125" s="7">
        <v>120000</v>
      </c>
      <c r="D125" s="5" t="s">
        <v>29</v>
      </c>
      <c r="E125" s="5" t="s">
        <v>7</v>
      </c>
      <c r="F125" s="5" t="s">
        <v>27</v>
      </c>
    </row>
    <row r="126" ht="16.5" spans="1:6">
      <c r="A126" s="2" t="s">
        <v>59</v>
      </c>
      <c r="B126" s="3">
        <v>2020</v>
      </c>
      <c r="C126" s="4">
        <v>98000</v>
      </c>
      <c r="D126" s="2" t="s">
        <v>30</v>
      </c>
      <c r="E126" s="2" t="s">
        <v>7</v>
      </c>
      <c r="F126" s="2" t="s">
        <v>27</v>
      </c>
    </row>
    <row r="127" ht="16.5" spans="1:6">
      <c r="A127" s="5" t="s">
        <v>78</v>
      </c>
      <c r="B127" s="6">
        <v>2021</v>
      </c>
      <c r="C127" s="7">
        <v>141000</v>
      </c>
      <c r="D127" s="5" t="s">
        <v>29</v>
      </c>
      <c r="E127" s="5" t="s">
        <v>7</v>
      </c>
      <c r="F127" s="5" t="s">
        <v>27</v>
      </c>
    </row>
    <row r="128" ht="16.5" spans="1:6">
      <c r="A128" s="2" t="s">
        <v>79</v>
      </c>
      <c r="B128" s="3">
        <v>2017</v>
      </c>
      <c r="C128" s="4">
        <v>122000</v>
      </c>
      <c r="D128" s="2" t="s">
        <v>42</v>
      </c>
      <c r="E128" s="2" t="s">
        <v>7</v>
      </c>
      <c r="F128" s="2" t="s">
        <v>27</v>
      </c>
    </row>
    <row r="129" ht="16.5" spans="1:6">
      <c r="A129" s="5" t="s">
        <v>80</v>
      </c>
      <c r="B129" s="6">
        <v>2013</v>
      </c>
      <c r="C129" s="7">
        <v>55000</v>
      </c>
      <c r="D129" s="5" t="s">
        <v>55</v>
      </c>
      <c r="E129" s="5" t="s">
        <v>8</v>
      </c>
      <c r="F129" s="5" t="s">
        <v>27</v>
      </c>
    </row>
    <row r="130" ht="16.5" spans="1:6">
      <c r="A130" s="2" t="s">
        <v>81</v>
      </c>
      <c r="B130" s="3">
        <v>2021</v>
      </c>
      <c r="C130" s="4">
        <v>89000</v>
      </c>
      <c r="D130" s="2" t="s">
        <v>42</v>
      </c>
      <c r="E130" s="2" t="s">
        <v>7</v>
      </c>
      <c r="F130" s="2" t="s">
        <v>27</v>
      </c>
    </row>
    <row r="131" ht="16.5" spans="1:6">
      <c r="A131" s="5" t="s">
        <v>82</v>
      </c>
      <c r="B131" s="6">
        <v>2022</v>
      </c>
      <c r="C131" s="7">
        <v>15000</v>
      </c>
      <c r="D131" s="5" t="s">
        <v>55</v>
      </c>
      <c r="E131" s="5" t="s">
        <v>7</v>
      </c>
      <c r="F131" s="5" t="s">
        <v>27</v>
      </c>
    </row>
    <row r="132" ht="16.5" spans="1:6">
      <c r="A132" s="2" t="s">
        <v>83</v>
      </c>
      <c r="B132" s="3">
        <v>2011</v>
      </c>
      <c r="C132" s="4">
        <v>210000</v>
      </c>
      <c r="D132" s="2" t="s">
        <v>55</v>
      </c>
      <c r="E132" s="2" t="s">
        <v>7</v>
      </c>
      <c r="F132" s="2" t="s">
        <v>27</v>
      </c>
    </row>
    <row r="133" ht="16.5" spans="1:6">
      <c r="A133" s="5" t="s">
        <v>84</v>
      </c>
      <c r="B133" s="6">
        <v>2019</v>
      </c>
      <c r="C133" s="7">
        <v>86000</v>
      </c>
      <c r="D133" s="5" t="s">
        <v>30</v>
      </c>
      <c r="E133" s="5" t="s">
        <v>7</v>
      </c>
      <c r="F133" s="5" t="s">
        <v>27</v>
      </c>
    </row>
    <row r="134" ht="16.5" spans="1:6">
      <c r="A134" s="2" t="s">
        <v>85</v>
      </c>
      <c r="B134" s="3">
        <v>2021</v>
      </c>
      <c r="C134" s="4">
        <v>50000</v>
      </c>
      <c r="D134" s="2" t="s">
        <v>42</v>
      </c>
      <c r="E134" s="2" t="s">
        <v>7</v>
      </c>
      <c r="F134" s="2" t="s">
        <v>27</v>
      </c>
    </row>
    <row r="135" ht="16.5" spans="1:6">
      <c r="A135" s="5" t="s">
        <v>86</v>
      </c>
      <c r="B135" s="6">
        <v>2020</v>
      </c>
      <c r="C135" s="7">
        <v>112000</v>
      </c>
      <c r="D135" s="5" t="s">
        <v>42</v>
      </c>
      <c r="E135" s="5" t="s">
        <v>7</v>
      </c>
      <c r="F135" s="5" t="s">
        <v>27</v>
      </c>
    </row>
    <row r="136" ht="16.5" spans="1:6">
      <c r="A136" s="2" t="s">
        <v>87</v>
      </c>
      <c r="B136" s="3">
        <v>2024</v>
      </c>
      <c r="C136" s="4">
        <v>3000</v>
      </c>
      <c r="D136" s="2" t="s">
        <v>34</v>
      </c>
      <c r="E136" s="2" t="s">
        <v>7</v>
      </c>
      <c r="F136" s="2" t="s">
        <v>27</v>
      </c>
    </row>
    <row r="137" ht="16.5" spans="1:6">
      <c r="A137" s="5" t="s">
        <v>78</v>
      </c>
      <c r="B137" s="6">
        <v>2010</v>
      </c>
      <c r="C137" s="7">
        <v>195000</v>
      </c>
      <c r="D137" s="5" t="s">
        <v>36</v>
      </c>
      <c r="E137" s="5" t="s">
        <v>7</v>
      </c>
      <c r="F137" s="5" t="s">
        <v>27</v>
      </c>
    </row>
    <row r="138" ht="16.5" spans="1:6">
      <c r="A138" s="2" t="s">
        <v>88</v>
      </c>
      <c r="B138" s="3">
        <v>2022</v>
      </c>
      <c r="C138" s="4">
        <v>200000</v>
      </c>
      <c r="D138" s="2" t="s">
        <v>30</v>
      </c>
      <c r="E138" s="2" t="s">
        <v>7</v>
      </c>
      <c r="F138" s="2" t="s">
        <v>9</v>
      </c>
    </row>
    <row r="139" ht="16.5" spans="1:6">
      <c r="A139" s="5" t="s">
        <v>85</v>
      </c>
      <c r="B139" s="6">
        <v>2021</v>
      </c>
      <c r="C139" s="7">
        <v>70000</v>
      </c>
      <c r="D139" s="5" t="s">
        <v>42</v>
      </c>
      <c r="E139" s="5" t="s">
        <v>7</v>
      </c>
      <c r="F139" s="5" t="s">
        <v>27</v>
      </c>
    </row>
    <row r="140" ht="16.5" spans="1:6">
      <c r="A140" s="2" t="s">
        <v>89</v>
      </c>
      <c r="B140" s="3">
        <v>2021</v>
      </c>
      <c r="C140" s="4">
        <v>100000</v>
      </c>
      <c r="D140" s="2" t="s">
        <v>26</v>
      </c>
      <c r="E140" s="2" t="s">
        <v>7</v>
      </c>
      <c r="F140" s="2" t="s">
        <v>27</v>
      </c>
    </row>
    <row r="141" ht="16.5" spans="1:6">
      <c r="A141" s="5" t="s">
        <v>90</v>
      </c>
      <c r="B141" s="6">
        <v>2022</v>
      </c>
      <c r="C141" s="7">
        <v>55000</v>
      </c>
      <c r="D141" s="5" t="s">
        <v>40</v>
      </c>
      <c r="E141" s="5" t="s">
        <v>7</v>
      </c>
      <c r="F141" s="5" t="s">
        <v>27</v>
      </c>
    </row>
    <row r="142" ht="16.5" spans="1:6">
      <c r="A142" s="2" t="s">
        <v>78</v>
      </c>
      <c r="B142" s="3">
        <v>2020</v>
      </c>
      <c r="C142" s="4">
        <v>145000</v>
      </c>
      <c r="D142" s="2" t="s">
        <v>30</v>
      </c>
      <c r="E142" s="2" t="s">
        <v>7</v>
      </c>
      <c r="F142" s="2" t="s">
        <v>27</v>
      </c>
    </row>
    <row r="143" ht="16.5" spans="1:6">
      <c r="A143" s="5" t="s">
        <v>59</v>
      </c>
      <c r="B143" s="6">
        <v>2021</v>
      </c>
      <c r="C143" s="7">
        <v>60000</v>
      </c>
      <c r="D143" s="5" t="s">
        <v>91</v>
      </c>
      <c r="E143" s="5" t="s">
        <v>7</v>
      </c>
      <c r="F143" s="5" t="s">
        <v>27</v>
      </c>
    </row>
    <row r="144" ht="16.5" spans="1:6">
      <c r="A144" s="2" t="s">
        <v>92</v>
      </c>
      <c r="B144" s="3">
        <v>2015</v>
      </c>
      <c r="C144" s="4">
        <v>162000</v>
      </c>
      <c r="D144" s="2" t="s">
        <v>40</v>
      </c>
      <c r="E144" s="2" t="s">
        <v>8</v>
      </c>
      <c r="F144" s="2" t="s">
        <v>27</v>
      </c>
    </row>
    <row r="145" ht="16.5" spans="1:6">
      <c r="A145" s="5" t="s">
        <v>93</v>
      </c>
      <c r="B145" s="6">
        <v>2012</v>
      </c>
      <c r="C145" s="7">
        <v>100000</v>
      </c>
      <c r="D145" s="5" t="s">
        <v>29</v>
      </c>
      <c r="E145" s="5" t="s">
        <v>7</v>
      </c>
      <c r="F145" s="5" t="s">
        <v>27</v>
      </c>
    </row>
    <row r="146" ht="16.5" spans="1:6">
      <c r="A146" s="2" t="s">
        <v>94</v>
      </c>
      <c r="B146" s="3">
        <v>2017</v>
      </c>
      <c r="C146" s="4">
        <v>130000</v>
      </c>
      <c r="D146" s="2" t="s">
        <v>39</v>
      </c>
      <c r="E146" s="2" t="s">
        <v>7</v>
      </c>
      <c r="F146" s="2" t="s">
        <v>27</v>
      </c>
    </row>
    <row r="147" ht="16.5" spans="1:6">
      <c r="A147" s="5" t="s">
        <v>95</v>
      </c>
      <c r="B147" s="6">
        <v>2024</v>
      </c>
      <c r="C147" s="7">
        <v>95000</v>
      </c>
      <c r="D147" s="5" t="s">
        <v>42</v>
      </c>
      <c r="E147" s="5" t="s">
        <v>7</v>
      </c>
      <c r="F147" s="5" t="s">
        <v>27</v>
      </c>
    </row>
    <row r="148" ht="16.5" spans="1:6">
      <c r="A148" s="2" t="s">
        <v>96</v>
      </c>
      <c r="B148" s="3">
        <v>2015</v>
      </c>
      <c r="C148" s="4">
        <v>126000</v>
      </c>
      <c r="D148" s="2" t="s">
        <v>30</v>
      </c>
      <c r="E148" s="2" t="s">
        <v>7</v>
      </c>
      <c r="F148" s="2" t="s">
        <v>27</v>
      </c>
    </row>
    <row r="149" ht="16.5" spans="1:6">
      <c r="A149" s="5" t="s">
        <v>97</v>
      </c>
      <c r="B149" s="6">
        <v>2021</v>
      </c>
      <c r="C149" s="7">
        <v>98000</v>
      </c>
      <c r="D149" s="5" t="s">
        <v>42</v>
      </c>
      <c r="E149" s="5" t="s">
        <v>7</v>
      </c>
      <c r="F149" s="5" t="s">
        <v>27</v>
      </c>
    </row>
    <row r="150" ht="16.5" spans="1:6">
      <c r="A150" s="2" t="s">
        <v>25</v>
      </c>
      <c r="B150" s="3">
        <v>2023</v>
      </c>
      <c r="C150" s="4">
        <v>95000</v>
      </c>
      <c r="D150" s="2" t="s">
        <v>55</v>
      </c>
      <c r="E150" s="2" t="s">
        <v>7</v>
      </c>
      <c r="F150" s="2" t="s">
        <v>27</v>
      </c>
    </row>
    <row r="151" ht="16.5" spans="1:6">
      <c r="A151" s="5" t="s">
        <v>68</v>
      </c>
      <c r="B151" s="6">
        <v>2012</v>
      </c>
      <c r="C151" s="7">
        <v>210000</v>
      </c>
      <c r="D151" s="5" t="s">
        <v>42</v>
      </c>
      <c r="E151" s="5" t="s">
        <v>7</v>
      </c>
      <c r="F151" s="5" t="s">
        <v>27</v>
      </c>
    </row>
    <row r="152" ht="16.5" spans="1:6">
      <c r="A152" s="2" t="s">
        <v>54</v>
      </c>
      <c r="B152" s="3">
        <v>2023</v>
      </c>
      <c r="C152" s="4">
        <v>12000</v>
      </c>
      <c r="D152" s="2" t="s">
        <v>30</v>
      </c>
      <c r="E152" s="2" t="s">
        <v>7</v>
      </c>
      <c r="F152" s="2" t="s">
        <v>27</v>
      </c>
    </row>
    <row r="153" ht="16.5" spans="1:6">
      <c r="A153" s="5" t="s">
        <v>98</v>
      </c>
      <c r="B153" s="6">
        <v>2023</v>
      </c>
      <c r="C153" s="7">
        <v>13500</v>
      </c>
      <c r="D153" s="5" t="s">
        <v>30</v>
      </c>
      <c r="E153" s="5" t="s">
        <v>7</v>
      </c>
      <c r="F153" s="5" t="s">
        <v>27</v>
      </c>
    </row>
    <row r="154" ht="16.5" spans="1:6">
      <c r="A154" s="2" t="s">
        <v>99</v>
      </c>
      <c r="B154" s="3">
        <v>2024</v>
      </c>
      <c r="C154" s="4">
        <v>7000</v>
      </c>
      <c r="D154" s="2" t="s">
        <v>29</v>
      </c>
      <c r="E154" s="2" t="s">
        <v>7</v>
      </c>
      <c r="F154" s="2" t="s">
        <v>27</v>
      </c>
    </row>
    <row r="155" ht="16.5" spans="1:6">
      <c r="A155" s="5" t="s">
        <v>49</v>
      </c>
      <c r="B155" s="6">
        <v>2019</v>
      </c>
      <c r="C155" s="7">
        <v>50000</v>
      </c>
      <c r="D155" s="5" t="s">
        <v>34</v>
      </c>
      <c r="E155" s="5" t="s">
        <v>7</v>
      </c>
      <c r="F155" s="5" t="s">
        <v>27</v>
      </c>
    </row>
    <row r="156" ht="16.5" spans="1:6">
      <c r="A156" s="2" t="s">
        <v>54</v>
      </c>
      <c r="B156" s="3">
        <v>2023</v>
      </c>
      <c r="C156" s="4">
        <v>29000</v>
      </c>
      <c r="D156" s="2" t="s">
        <v>30</v>
      </c>
      <c r="E156" s="2" t="s">
        <v>7</v>
      </c>
      <c r="F156" s="2" t="s">
        <v>27</v>
      </c>
    </row>
    <row r="157" ht="16.5" spans="1:6">
      <c r="A157" s="5" t="s">
        <v>100</v>
      </c>
      <c r="B157" s="6">
        <v>2021</v>
      </c>
      <c r="C157" s="7">
        <v>70000</v>
      </c>
      <c r="D157" s="5" t="s">
        <v>29</v>
      </c>
      <c r="E157" s="5" t="s">
        <v>7</v>
      </c>
      <c r="F157" s="5" t="s">
        <v>27</v>
      </c>
    </row>
    <row r="158" ht="16.5" spans="1:6">
      <c r="A158" s="2" t="s">
        <v>101</v>
      </c>
      <c r="B158" s="3">
        <v>2016</v>
      </c>
      <c r="C158" s="4">
        <v>88000</v>
      </c>
      <c r="D158" s="2" t="s">
        <v>35</v>
      </c>
      <c r="E158" s="2" t="s">
        <v>7</v>
      </c>
      <c r="F158" s="2" t="s">
        <v>27</v>
      </c>
    </row>
    <row r="159" ht="16.5" spans="1:6">
      <c r="A159" s="5" t="s">
        <v>67</v>
      </c>
      <c r="B159" s="6">
        <v>2018</v>
      </c>
      <c r="C159" s="7">
        <v>113000</v>
      </c>
      <c r="D159" s="5" t="s">
        <v>40</v>
      </c>
      <c r="E159" s="5" t="s">
        <v>7</v>
      </c>
      <c r="F159" s="5" t="s">
        <v>27</v>
      </c>
    </row>
    <row r="160" ht="16.5" spans="1:6">
      <c r="A160" s="2" t="s">
        <v>102</v>
      </c>
      <c r="B160" s="3">
        <v>2009</v>
      </c>
      <c r="C160" s="4">
        <v>150000</v>
      </c>
      <c r="D160" s="2" t="s">
        <v>29</v>
      </c>
      <c r="E160" s="2" t="s">
        <v>7</v>
      </c>
      <c r="F160" s="2" t="s">
        <v>27</v>
      </c>
    </row>
    <row r="161" ht="16.5" spans="1:6">
      <c r="A161" s="5" t="s">
        <v>93</v>
      </c>
      <c r="B161" s="6">
        <v>2013</v>
      </c>
      <c r="C161" s="7">
        <v>130000</v>
      </c>
      <c r="D161" s="5" t="s">
        <v>103</v>
      </c>
      <c r="E161" s="5" t="s">
        <v>7</v>
      </c>
      <c r="F161" s="5" t="s">
        <v>27</v>
      </c>
    </row>
    <row r="162" ht="16.5" spans="1:6">
      <c r="A162" s="2" t="s">
        <v>78</v>
      </c>
      <c r="B162" s="3">
        <v>2018</v>
      </c>
      <c r="C162" s="4">
        <v>230000</v>
      </c>
      <c r="D162" s="2" t="s">
        <v>40</v>
      </c>
      <c r="E162" s="2" t="s">
        <v>7</v>
      </c>
      <c r="F162" s="2" t="s">
        <v>27</v>
      </c>
    </row>
    <row r="163" ht="16.5" spans="1:6">
      <c r="A163" s="5" t="s">
        <v>90</v>
      </c>
      <c r="B163" s="6">
        <v>2022</v>
      </c>
      <c r="C163" s="7">
        <v>60000</v>
      </c>
      <c r="D163" s="5" t="s">
        <v>42</v>
      </c>
      <c r="E163" s="5" t="s">
        <v>7</v>
      </c>
      <c r="F163" s="5" t="s">
        <v>27</v>
      </c>
    </row>
    <row r="164" ht="16.5" spans="1:6">
      <c r="A164" s="2" t="s">
        <v>60</v>
      </c>
      <c r="B164" s="3">
        <v>2021</v>
      </c>
      <c r="C164" s="4">
        <v>75000</v>
      </c>
      <c r="D164" s="2" t="s">
        <v>34</v>
      </c>
      <c r="E164" s="2" t="s">
        <v>7</v>
      </c>
      <c r="F164" s="2" t="s">
        <v>27</v>
      </c>
    </row>
    <row r="165" ht="16.5" spans="1:6">
      <c r="A165" s="5" t="s">
        <v>104</v>
      </c>
      <c r="B165" s="6">
        <v>2021</v>
      </c>
      <c r="C165" s="7">
        <v>80000</v>
      </c>
      <c r="D165" s="5" t="s">
        <v>42</v>
      </c>
      <c r="E165" s="5" t="s">
        <v>7</v>
      </c>
      <c r="F165" s="5" t="s">
        <v>27</v>
      </c>
    </row>
    <row r="166" ht="16.5" spans="1:6">
      <c r="A166" s="2" t="s">
        <v>105</v>
      </c>
      <c r="B166" s="3">
        <v>2010</v>
      </c>
      <c r="C166" s="4">
        <v>130000</v>
      </c>
      <c r="D166" s="2" t="s">
        <v>30</v>
      </c>
      <c r="E166" s="2" t="s">
        <v>7</v>
      </c>
      <c r="F166" s="2" t="s">
        <v>27</v>
      </c>
    </row>
    <row r="167" ht="16.5" spans="1:6">
      <c r="A167" s="5" t="s">
        <v>67</v>
      </c>
      <c r="B167" s="6">
        <v>2023</v>
      </c>
      <c r="C167" s="7">
        <v>43000</v>
      </c>
      <c r="D167" s="5" t="s">
        <v>39</v>
      </c>
      <c r="E167" s="5" t="s">
        <v>7</v>
      </c>
      <c r="F167" s="5" t="s">
        <v>27</v>
      </c>
    </row>
    <row r="168" ht="16.5" spans="1:6">
      <c r="A168" s="2" t="s">
        <v>67</v>
      </c>
      <c r="B168" s="3">
        <v>2022</v>
      </c>
      <c r="C168" s="4">
        <v>87000</v>
      </c>
      <c r="D168" s="2" t="s">
        <v>30</v>
      </c>
      <c r="E168" s="2" t="s">
        <v>7</v>
      </c>
      <c r="F168" s="2" t="s">
        <v>27</v>
      </c>
    </row>
    <row r="169" ht="16.5" spans="1:6">
      <c r="A169" s="5" t="s">
        <v>67</v>
      </c>
      <c r="B169" s="6">
        <v>2020</v>
      </c>
      <c r="C169" s="7">
        <v>120000</v>
      </c>
      <c r="D169" s="5" t="s">
        <v>39</v>
      </c>
      <c r="E169" s="5" t="s">
        <v>7</v>
      </c>
      <c r="F169" s="5" t="s">
        <v>27</v>
      </c>
    </row>
    <row r="170" ht="16.5" spans="1:6">
      <c r="A170" s="2" t="s">
        <v>28</v>
      </c>
      <c r="B170" s="3">
        <v>2016</v>
      </c>
      <c r="C170" s="4">
        <v>130000</v>
      </c>
      <c r="D170" s="2" t="s">
        <v>30</v>
      </c>
      <c r="E170" s="2" t="s">
        <v>7</v>
      </c>
      <c r="F170" s="2" t="s">
        <v>27</v>
      </c>
    </row>
    <row r="171" ht="16.5" spans="1:6">
      <c r="A171" s="5" t="s">
        <v>106</v>
      </c>
      <c r="B171" s="6">
        <v>2010</v>
      </c>
      <c r="C171" s="7">
        <v>158000</v>
      </c>
      <c r="D171" s="5" t="s">
        <v>30</v>
      </c>
      <c r="E171" s="5" t="s">
        <v>7</v>
      </c>
      <c r="F171" s="5" t="s">
        <v>27</v>
      </c>
    </row>
    <row r="172" ht="16.5" spans="1:6">
      <c r="A172" s="2" t="s">
        <v>74</v>
      </c>
      <c r="B172" s="3">
        <v>2020</v>
      </c>
      <c r="C172" s="4">
        <v>98000</v>
      </c>
      <c r="D172" s="2" t="s">
        <v>39</v>
      </c>
      <c r="E172" s="2" t="s">
        <v>7</v>
      </c>
      <c r="F172" s="2" t="s">
        <v>27</v>
      </c>
    </row>
    <row r="173" ht="16.5" spans="1:6">
      <c r="A173" s="5" t="s">
        <v>107</v>
      </c>
      <c r="B173" s="6">
        <v>2010</v>
      </c>
      <c r="C173" s="7">
        <v>143000</v>
      </c>
      <c r="D173" s="5" t="s">
        <v>29</v>
      </c>
      <c r="E173" s="5" t="s">
        <v>7</v>
      </c>
      <c r="F173" s="5" t="s">
        <v>27</v>
      </c>
    </row>
    <row r="174" ht="16.5" spans="1:6">
      <c r="A174" s="2" t="s">
        <v>108</v>
      </c>
      <c r="B174" s="3">
        <v>2019</v>
      </c>
      <c r="C174" s="4">
        <v>95000</v>
      </c>
      <c r="D174" s="2" t="s">
        <v>42</v>
      </c>
      <c r="E174" s="2" t="s">
        <v>7</v>
      </c>
      <c r="F174" s="2" t="s">
        <v>27</v>
      </c>
    </row>
    <row r="175" ht="16.5" spans="1:6">
      <c r="A175" s="5" t="s">
        <v>95</v>
      </c>
      <c r="B175" s="6">
        <v>2019</v>
      </c>
      <c r="C175" s="7">
        <v>109000</v>
      </c>
      <c r="D175" s="5" t="s">
        <v>42</v>
      </c>
      <c r="E175" s="5" t="s">
        <v>7</v>
      </c>
      <c r="F175" s="5" t="s">
        <v>27</v>
      </c>
    </row>
    <row r="176" ht="16.5" spans="1:6">
      <c r="A176" s="2" t="s">
        <v>95</v>
      </c>
      <c r="B176" s="3">
        <v>2024</v>
      </c>
      <c r="C176" s="4">
        <v>30</v>
      </c>
      <c r="D176" s="2" t="s">
        <v>26</v>
      </c>
      <c r="E176" s="2" t="s">
        <v>7</v>
      </c>
      <c r="F176" s="2" t="s">
        <v>27</v>
      </c>
    </row>
    <row r="177" ht="16.5" spans="1:6">
      <c r="A177" s="5" t="s">
        <v>106</v>
      </c>
      <c r="B177" s="6">
        <v>2009</v>
      </c>
      <c r="C177" s="7">
        <v>102000</v>
      </c>
      <c r="D177" s="5" t="s">
        <v>30</v>
      </c>
      <c r="E177" s="5" t="s">
        <v>7</v>
      </c>
      <c r="F177" s="5" t="s">
        <v>27</v>
      </c>
    </row>
    <row r="178" ht="16.5" spans="1:6">
      <c r="A178" s="2" t="s">
        <v>67</v>
      </c>
      <c r="B178" s="3">
        <v>2021</v>
      </c>
      <c r="C178" s="4">
        <v>21000</v>
      </c>
      <c r="D178" s="2" t="s">
        <v>30</v>
      </c>
      <c r="E178" s="2" t="s">
        <v>7</v>
      </c>
      <c r="F178" s="2" t="s">
        <v>27</v>
      </c>
    </row>
    <row r="179" ht="16.5" spans="1:6">
      <c r="A179" s="5" t="s">
        <v>57</v>
      </c>
      <c r="B179" s="6">
        <v>2021</v>
      </c>
      <c r="C179" s="7">
        <v>34000</v>
      </c>
      <c r="D179" s="5" t="s">
        <v>55</v>
      </c>
      <c r="E179" s="5" t="s">
        <v>7</v>
      </c>
      <c r="F179" s="5" t="s">
        <v>27</v>
      </c>
    </row>
    <row r="180" ht="16.5" spans="1:6">
      <c r="A180" s="2" t="s">
        <v>109</v>
      </c>
      <c r="B180" s="3">
        <v>2012</v>
      </c>
      <c r="C180" s="4">
        <v>197000</v>
      </c>
      <c r="D180" s="2" t="s">
        <v>40</v>
      </c>
      <c r="E180" s="2" t="s">
        <v>8</v>
      </c>
      <c r="F180" s="2" t="s">
        <v>27</v>
      </c>
    </row>
  </sheetData>
  <autoFilter xmlns:etc="http://www.wps.cn/officeDocument/2017/etCustomData" ref="A1:F1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 &amp; Insights</vt:lpstr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2026-05-18T12:19:00Z</dcterms:created>
  <dcterms:modified xsi:type="dcterms:W3CDTF">2026-05-18T12:21:08Z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3C3214A6261E46CD8151C3D3BF7219FC_12</vt:lpwstr>
  </property>
  <property fmtid="{D5CDD505-2E9C-101B-9397-08002B2CF9AE}" pid="3" name="KSOProductBuildVer">
    <vt:lpwstr>1033-12.2.0.22222</vt:lpwstr>
  </property>
</Properties>
</file>